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125" tabRatio="896" activeTab="13"/>
  </bookViews>
  <sheets>
    <sheet name="2025.5" sheetId="1" r:id="rId1"/>
    <sheet name="2025.6" sheetId="2" r:id="rId2"/>
    <sheet name="2025.7" sheetId="3" r:id="rId3"/>
    <sheet name="2025.8" sheetId="4" r:id="rId4"/>
    <sheet name="2025.9" sheetId="5" r:id="rId5"/>
    <sheet name="2025.10" sheetId="6" r:id="rId6"/>
    <sheet name="11月" sheetId="7" r:id="rId7"/>
    <sheet name="12月" sheetId="8" r:id="rId8"/>
    <sheet name="1月" sheetId="9" r:id="rId9"/>
    <sheet name="2月" sheetId="10" r:id="rId10"/>
    <sheet name="3月" sheetId="11" r:id="rId11"/>
    <sheet name="4月" sheetId="12" r:id="rId12"/>
    <sheet name="5月" sheetId="13" r:id="rId13"/>
    <sheet name="6月" sheetId="14" r:id="rId14"/>
  </sheets>
  <definedNames>
    <definedName name="_xlnm._FilterDatabase" localSheetId="6" hidden="1">'11月'!$A$2:$AB$92</definedName>
    <definedName name="_xlnm._FilterDatabase" localSheetId="7" hidden="1">'12月'!$A$3:$AB$96</definedName>
    <definedName name="_xlnm._FilterDatabase" localSheetId="8" hidden="1">'1月'!$A$3:$AA$96</definedName>
    <definedName name="_xlnm._FilterDatabase" localSheetId="9" hidden="1">'2月'!$A$3:$AB$87</definedName>
    <definedName name="_xlnm._FilterDatabase" localSheetId="10" hidden="1">'3月'!$3:$96</definedName>
    <definedName name="_xlnm._FilterDatabase" localSheetId="11" hidden="1">'4月'!$3:$93</definedName>
    <definedName name="_xlnm._FilterDatabase" localSheetId="12" hidden="1">'5月'!$3:$96</definedName>
    <definedName name="_xlnm._FilterDatabase" localSheetId="13" hidden="1">'6月'!$3:$101</definedName>
  </definedNames>
  <calcPr calcId="144525" concurrentCalc="0"/>
</workbook>
</file>

<file path=xl/sharedStrings.xml><?xml version="1.0" encoding="utf-8"?>
<sst xmlns="http://schemas.openxmlformats.org/spreadsheetml/2006/main" count="41">
  <si>
    <t>黄花园区实时负荷汇总表（2025.5）</t>
  </si>
  <si>
    <t>蓝思黄花2025年11月日最高实际负荷</t>
  </si>
  <si>
    <t>日期  时间</t>
  </si>
  <si>
    <t>最高</t>
  </si>
  <si>
    <t>黄花园区实时负荷汇总表（2025.6）</t>
  </si>
  <si>
    <t>黄花园区实时负荷汇总表（2025.7）</t>
  </si>
  <si>
    <t>黄花园区实时负荷汇总表（2025.8）</t>
  </si>
  <si>
    <t>黄花园区实时负荷汇总表（2025.9）</t>
  </si>
  <si>
    <t>黄花园区实时负荷汇总表（2025.10）</t>
  </si>
  <si>
    <t>蓝思黄花2025年12月日最高实际负荷</t>
  </si>
  <si>
    <t>标的日期</t>
  </si>
  <si>
    <t>户号</t>
  </si>
  <si>
    <t>用户名称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</si>
  <si>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</si>
  <si>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</si>
  <si>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</si>
  <si>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</si>
  <si>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</si>
  <si>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</si>
  <si>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</si>
  <si>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</si>
  <si>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</si>
  <si>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</si>
  <si>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</si>
  <si>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</si>
  <si>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</si>
  <si>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</si>
  <si>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</si>
  <si>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</si>
  <si>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</si>
  <si>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</si>
  <si>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</si>
  <si>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</si>
  <si>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</si>
  <si>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</si>
  <si>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</si>
  <si>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</si>
  <si>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预估</t>
  </si>
  <si>
    <t>实际</t>
  </si>
  <si>
    <t>差值</t>
  </si>
  <si>
    <t>单位：兆瓦时</t>
  </si>
</sst>
</file>

<file path=xl/styles.xml><?xml version="1.0" encoding="utf-8"?>
<styleSheet xmlns="http://schemas.openxmlformats.org/spreadsheetml/2006/main">
  <numFmts count="8">
    <numFmt numFmtId="176" formatCode="yyyy/m/d;@"/>
    <numFmt numFmtId="41" formatCode="_ * #,##0_ ;_ * \-#,##0_ ;_ * &quot;-&quot;_ ;_ @_ "/>
    <numFmt numFmtId="177" formatCode="0_ "/>
    <numFmt numFmtId="178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9" formatCode="0.000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name val="SimSun"/>
      <charset val="134"/>
    </font>
    <font>
      <sz val="12"/>
      <color rgb="FF000000"/>
      <name val="Calibri"/>
      <charset val="134"/>
    </font>
    <font>
      <sz val="12"/>
      <color rgb="FF000000"/>
      <name val="宋体"/>
      <charset val="134"/>
    </font>
    <font>
      <b/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3" fillId="24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7" borderId="18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1" fillId="22" borderId="16" applyNumberFormat="0" applyAlignment="0" applyProtection="0">
      <alignment vertical="center"/>
    </xf>
    <xf numFmtId="0" fontId="25" fillId="22" borderId="17" applyNumberFormat="0" applyAlignment="0" applyProtection="0">
      <alignment vertical="center"/>
    </xf>
    <xf numFmtId="0" fontId="29" fillId="37" borderId="20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8" fontId="7" fillId="0" borderId="4" xfId="0" applyNumberFormat="1" applyFont="1" applyFill="1" applyBorder="1" applyAlignment="1">
      <alignment horizontal="center" vertical="center" wrapText="1"/>
    </xf>
    <xf numFmtId="178" fontId="7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/>
    </xf>
    <xf numFmtId="177" fontId="8" fillId="3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178" fontId="1" fillId="2" borderId="6" xfId="0" applyNumberFormat="1" applyFont="1" applyFill="1" applyBorder="1" applyAlignment="1">
      <alignment horizontal="center" vertical="center"/>
    </xf>
    <xf numFmtId="178" fontId="1" fillId="4" borderId="6" xfId="0" applyNumberFormat="1" applyFont="1" applyFill="1" applyBorder="1" applyAlignment="1">
      <alignment horizontal="center" vertical="center"/>
    </xf>
    <xf numFmtId="178" fontId="1" fillId="5" borderId="6" xfId="0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7" fontId="8" fillId="0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8" fontId="1" fillId="4" borderId="3" xfId="0" applyNumberFormat="1" applyFont="1" applyFill="1" applyBorder="1" applyAlignment="1">
      <alignment horizontal="center" vertical="center"/>
    </xf>
    <xf numFmtId="178" fontId="1" fillId="4" borderId="7" xfId="0" applyNumberFormat="1" applyFont="1" applyFill="1" applyBorder="1" applyAlignment="1">
      <alignment horizontal="center" vertical="center"/>
    </xf>
    <xf numFmtId="178" fontId="1" fillId="4" borderId="8" xfId="0" applyNumberFormat="1" applyFont="1" applyFill="1" applyBorder="1" applyAlignment="1">
      <alignment horizontal="center" vertical="center"/>
    </xf>
    <xf numFmtId="178" fontId="1" fillId="4" borderId="9" xfId="0" applyNumberFormat="1" applyFont="1" applyFill="1" applyBorder="1" applyAlignment="1">
      <alignment horizontal="center" vertical="center"/>
    </xf>
    <xf numFmtId="178" fontId="1" fillId="4" borderId="6" xfId="0" applyNumberFormat="1" applyFont="1" applyFill="1" applyBorder="1" applyAlignment="1">
      <alignment vertical="center"/>
    </xf>
    <xf numFmtId="178" fontId="1" fillId="4" borderId="9" xfId="0" applyNumberFormat="1" applyFont="1" applyFill="1" applyBorder="1" applyAlignment="1">
      <alignment vertical="center"/>
    </xf>
    <xf numFmtId="177" fontId="8" fillId="3" borderId="3" xfId="0" applyNumberFormat="1" applyFont="1" applyFill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177" fontId="8" fillId="3" borderId="7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10" fillId="0" borderId="11" xfId="0" applyNumberFormat="1" applyFont="1" applyFill="1" applyBorder="1" applyAlignment="1">
      <alignment horizontal="center" vertical="center"/>
    </xf>
    <xf numFmtId="20" fontId="11" fillId="0" borderId="12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179" fontId="12" fillId="5" borderId="6" xfId="0" applyNumberFormat="1" applyFont="1" applyFill="1" applyBorder="1" applyAlignment="1" applyProtection="1">
      <alignment horizontal="center" vertical="center"/>
      <protection locked="0"/>
    </xf>
    <xf numFmtId="0" fontId="12" fillId="4" borderId="6" xfId="0" applyFont="1" applyFill="1" applyBorder="1" applyAlignment="1">
      <alignment horizontal="center" vertical="center"/>
    </xf>
    <xf numFmtId="179" fontId="12" fillId="4" borderId="6" xfId="0" applyNumberFormat="1" applyFont="1" applyFill="1" applyBorder="1" applyAlignment="1" applyProtection="1">
      <alignment horizontal="center" vertical="center"/>
      <protection locked="0"/>
    </xf>
    <xf numFmtId="179" fontId="12" fillId="4" borderId="9" xfId="0" applyNumberFormat="1" applyFont="1" applyFill="1" applyBorder="1" applyAlignment="1" applyProtection="1">
      <alignment horizontal="center" vertical="center"/>
      <protection locked="0"/>
    </xf>
    <xf numFmtId="179" fontId="12" fillId="5" borderId="9" xfId="0" applyNumberFormat="1" applyFont="1" applyFill="1" applyBorder="1" applyAlignment="1" applyProtection="1">
      <alignment horizontal="center" vertical="center"/>
      <protection locked="0"/>
    </xf>
    <xf numFmtId="179" fontId="12" fillId="5" borderId="8" xfId="0" applyNumberFormat="1" applyFont="1" applyFill="1" applyBorder="1" applyAlignment="1" applyProtection="1">
      <alignment horizontal="center" vertical="center"/>
      <protection locked="0"/>
    </xf>
    <xf numFmtId="179" fontId="12" fillId="4" borderId="8" xfId="0" applyNumberFormat="1" applyFont="1" applyFill="1" applyBorder="1" applyAlignment="1" applyProtection="1">
      <alignment horizontal="center" vertical="center"/>
      <protection locked="0"/>
    </xf>
    <xf numFmtId="17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Preset3_Accent1">
    <tableStyle name="TableStylePreset3_Accent1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00FF0000"/>
    </mru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10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蓝思黄花2025年</a:t>
            </a:r>
            <a:r>
              <a:rPr lang="en-US" altLang="zh-CN" sz="1400" b="1" i="0" u="none" strike="noStrike" kern="1200" cap="none" spc="10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sz="1400" b="1" i="0" u="none" strike="noStrike" kern="1200" cap="none" spc="10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10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'2025.5'!$N$3:$N$33</c:f>
              <c:numCache>
                <c:formatCode>0_ </c:formatCode>
                <c:ptCount val="31"/>
                <c:pt idx="0">
                  <c:v>16.07</c:v>
                </c:pt>
                <c:pt idx="1">
                  <c:v>16.07</c:v>
                </c:pt>
                <c:pt idx="2">
                  <c:v>47.09</c:v>
                </c:pt>
                <c:pt idx="3">
                  <c:v>58.91</c:v>
                </c:pt>
                <c:pt idx="4">
                  <c:v>78.65</c:v>
                </c:pt>
                <c:pt idx="5">
                  <c:v>81.27</c:v>
                </c:pt>
                <c:pt idx="6">
                  <c:v>82.81</c:v>
                </c:pt>
                <c:pt idx="7">
                  <c:v>84.57</c:v>
                </c:pt>
                <c:pt idx="8">
                  <c:v>81.45</c:v>
                </c:pt>
                <c:pt idx="9">
                  <c:v>76</c:v>
                </c:pt>
                <c:pt idx="10">
                  <c:v>71.11</c:v>
                </c:pt>
                <c:pt idx="11">
                  <c:v>81.29</c:v>
                </c:pt>
                <c:pt idx="12">
                  <c:v>84.62</c:v>
                </c:pt>
                <c:pt idx="13">
                  <c:v>88.07</c:v>
                </c:pt>
                <c:pt idx="14">
                  <c:v>89.62</c:v>
                </c:pt>
                <c:pt idx="15">
                  <c:v>87.06</c:v>
                </c:pt>
                <c:pt idx="16">
                  <c:v>82.93</c:v>
                </c:pt>
                <c:pt idx="17">
                  <c:v>77.82</c:v>
                </c:pt>
                <c:pt idx="18">
                  <c:v>93.68</c:v>
                </c:pt>
                <c:pt idx="19">
                  <c:v>98.69</c:v>
                </c:pt>
                <c:pt idx="20">
                  <c:v>97.72</c:v>
                </c:pt>
                <c:pt idx="21">
                  <c:v>98.79</c:v>
                </c:pt>
                <c:pt idx="22">
                  <c:v>88.23</c:v>
                </c:pt>
                <c:pt idx="23">
                  <c:v>83.54</c:v>
                </c:pt>
                <c:pt idx="24">
                  <c:v>74.81</c:v>
                </c:pt>
                <c:pt idx="25">
                  <c:v>84.74</c:v>
                </c:pt>
                <c:pt idx="26">
                  <c:v>88.51</c:v>
                </c:pt>
                <c:pt idx="27">
                  <c:v>88.31</c:v>
                </c:pt>
                <c:pt idx="28">
                  <c:v>84.8</c:v>
                </c:pt>
                <c:pt idx="29">
                  <c:v>83.11</c:v>
                </c:pt>
                <c:pt idx="30">
                  <c:v>26.03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2958827"/>
        <c:axId val="856060525"/>
      </c:lineChart>
      <c:catAx>
        <c:axId val="342958827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lang="en-US" altLang="zh-CN"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60525"/>
        <c:crosses val="autoZero"/>
        <c:auto val="1"/>
        <c:lblAlgn val="ctr"/>
        <c:lblOffset val="100"/>
        <c:tickMarkSkip val="1"/>
        <c:noMultiLvlLbl val="0"/>
      </c:catAx>
      <c:valAx>
        <c:axId val="856060525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9588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蓝思黄花2025年</a:t>
            </a:r>
            <a:r>
              <a:rPr lang="en-US" altLang="zh-CN"/>
              <a:t>6</a:t>
            </a:r>
            <a:r>
              <a:t>月日最高实际负荷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'2025.6'!$N$3:$N$32</c:f>
              <c:numCache>
                <c:formatCode>0_ </c:formatCode>
                <c:ptCount val="30"/>
                <c:pt idx="0">
                  <c:v>58.13</c:v>
                </c:pt>
                <c:pt idx="1">
                  <c:v>77.99</c:v>
                </c:pt>
                <c:pt idx="2">
                  <c:v>86.12</c:v>
                </c:pt>
                <c:pt idx="3">
                  <c:v>88.67</c:v>
                </c:pt>
                <c:pt idx="4">
                  <c:v>91.92</c:v>
                </c:pt>
                <c:pt idx="5">
                  <c:v>98</c:v>
                </c:pt>
                <c:pt idx="6">
                  <c:v>94.79</c:v>
                </c:pt>
                <c:pt idx="7">
                  <c:v>88.35</c:v>
                </c:pt>
                <c:pt idx="8">
                  <c:v>91.86</c:v>
                </c:pt>
                <c:pt idx="9">
                  <c:v>91.66</c:v>
                </c:pt>
                <c:pt idx="10">
                  <c:v>91.65</c:v>
                </c:pt>
                <c:pt idx="11">
                  <c:v>92.32</c:v>
                </c:pt>
                <c:pt idx="12">
                  <c:v>95.48</c:v>
                </c:pt>
                <c:pt idx="13">
                  <c:v>92.97</c:v>
                </c:pt>
                <c:pt idx="14">
                  <c:v>83.26</c:v>
                </c:pt>
                <c:pt idx="15">
                  <c:v>94.92</c:v>
                </c:pt>
                <c:pt idx="16">
                  <c:v>96.81</c:v>
                </c:pt>
                <c:pt idx="17">
                  <c:v>95.54</c:v>
                </c:pt>
                <c:pt idx="18">
                  <c:v>96.13</c:v>
                </c:pt>
                <c:pt idx="19">
                  <c:v>94.84</c:v>
                </c:pt>
                <c:pt idx="20">
                  <c:v>92.17</c:v>
                </c:pt>
                <c:pt idx="21">
                  <c:v>83.43</c:v>
                </c:pt>
                <c:pt idx="22">
                  <c:v>90.12</c:v>
                </c:pt>
                <c:pt idx="23">
                  <c:v>92.46</c:v>
                </c:pt>
                <c:pt idx="24">
                  <c:v>97.72</c:v>
                </c:pt>
                <c:pt idx="25">
                  <c:v>99.88</c:v>
                </c:pt>
                <c:pt idx="26">
                  <c:v>100.33</c:v>
                </c:pt>
                <c:pt idx="27">
                  <c:v>95.66</c:v>
                </c:pt>
                <c:pt idx="28">
                  <c:v>84.25</c:v>
                </c:pt>
                <c:pt idx="29">
                  <c:v>100.67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2958827"/>
        <c:axId val="856060525"/>
      </c:lineChart>
      <c:catAx>
        <c:axId val="342958827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lang="en-US" altLang="zh-CN"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60525"/>
        <c:crosses val="autoZero"/>
        <c:auto val="1"/>
        <c:lblAlgn val="ctr"/>
        <c:lblOffset val="100"/>
        <c:tickMarkSkip val="1"/>
        <c:noMultiLvlLbl val="0"/>
      </c:catAx>
      <c:valAx>
        <c:axId val="856060525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9588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蓝思黄花2025年</a:t>
            </a:r>
            <a:r>
              <a:rPr lang="en-US" altLang="zh-CN"/>
              <a:t>7</a:t>
            </a:r>
            <a:r>
              <a:t>月日最高实际负荷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'2025.7'!$N$3:$N$33</c:f>
              <c:numCache>
                <c:formatCode>0_ </c:formatCode>
                <c:ptCount val="31"/>
                <c:pt idx="0">
                  <c:v>101.08</c:v>
                </c:pt>
                <c:pt idx="1">
                  <c:v>101.55</c:v>
                </c:pt>
                <c:pt idx="2">
                  <c:v>100.9</c:v>
                </c:pt>
                <c:pt idx="3">
                  <c:v>99.92</c:v>
                </c:pt>
                <c:pt idx="4">
                  <c:v>99.14</c:v>
                </c:pt>
                <c:pt idx="5">
                  <c:v>96.28</c:v>
                </c:pt>
                <c:pt idx="6">
                  <c:v>101.3</c:v>
                </c:pt>
                <c:pt idx="7">
                  <c:v>103.02</c:v>
                </c:pt>
                <c:pt idx="8">
                  <c:v>107.5</c:v>
                </c:pt>
                <c:pt idx="9">
                  <c:v>105.51</c:v>
                </c:pt>
                <c:pt idx="10">
                  <c:v>102.8</c:v>
                </c:pt>
                <c:pt idx="11">
                  <c:v>101.01</c:v>
                </c:pt>
                <c:pt idx="12">
                  <c:v>93.51</c:v>
                </c:pt>
                <c:pt idx="13">
                  <c:v>102.59</c:v>
                </c:pt>
                <c:pt idx="14">
                  <c:v>102.52</c:v>
                </c:pt>
                <c:pt idx="15">
                  <c:v>100.76</c:v>
                </c:pt>
                <c:pt idx="16">
                  <c:v>104.1</c:v>
                </c:pt>
                <c:pt idx="17">
                  <c:v>104.88</c:v>
                </c:pt>
                <c:pt idx="18">
                  <c:v>101.45</c:v>
                </c:pt>
                <c:pt idx="19">
                  <c:v>92.6</c:v>
                </c:pt>
                <c:pt idx="20">
                  <c:v>104.31</c:v>
                </c:pt>
                <c:pt idx="21">
                  <c:v>103.6</c:v>
                </c:pt>
                <c:pt idx="22">
                  <c:v>103.7</c:v>
                </c:pt>
                <c:pt idx="23">
                  <c:v>102.19</c:v>
                </c:pt>
                <c:pt idx="24">
                  <c:v>105.01</c:v>
                </c:pt>
                <c:pt idx="25">
                  <c:v>101.35</c:v>
                </c:pt>
                <c:pt idx="26">
                  <c:v>96.14</c:v>
                </c:pt>
                <c:pt idx="27">
                  <c:v>104.35</c:v>
                </c:pt>
                <c:pt idx="28">
                  <c:v>102.63</c:v>
                </c:pt>
                <c:pt idx="29">
                  <c:v>106.26</c:v>
                </c:pt>
                <c:pt idx="30">
                  <c:v>104.61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2958827"/>
        <c:axId val="856060525"/>
      </c:lineChart>
      <c:catAx>
        <c:axId val="342958827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lang="en-US" altLang="zh-CN"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60525"/>
        <c:crosses val="autoZero"/>
        <c:auto val="1"/>
        <c:lblAlgn val="ctr"/>
        <c:lblOffset val="100"/>
        <c:tickMarkSkip val="1"/>
        <c:noMultiLvlLbl val="0"/>
      </c:catAx>
      <c:valAx>
        <c:axId val="856060525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9588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蓝思黄花2025年</a:t>
            </a:r>
            <a:r>
              <a:rPr lang="en-US" altLang="zh-CN"/>
              <a:t>8</a:t>
            </a:r>
            <a:r>
              <a:t>月日最高实际负荷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'2025.8'!$N$3:$N$33</c:f>
              <c:numCache>
                <c:formatCode>0_ </c:formatCode>
                <c:ptCount val="31"/>
                <c:pt idx="0">
                  <c:v>102.29</c:v>
                </c:pt>
                <c:pt idx="1">
                  <c:v>102.29</c:v>
                </c:pt>
                <c:pt idx="2">
                  <c:v>92.92</c:v>
                </c:pt>
                <c:pt idx="3">
                  <c:v>105.66</c:v>
                </c:pt>
                <c:pt idx="4">
                  <c:v>106.27</c:v>
                </c:pt>
                <c:pt idx="5">
                  <c:v>104.82</c:v>
                </c:pt>
                <c:pt idx="6">
                  <c:v>104.53</c:v>
                </c:pt>
                <c:pt idx="7">
                  <c:v>104.47</c:v>
                </c:pt>
                <c:pt idx="8">
                  <c:v>103.25</c:v>
                </c:pt>
                <c:pt idx="9">
                  <c:v>96.92</c:v>
                </c:pt>
                <c:pt idx="10">
                  <c:v>105.09</c:v>
                </c:pt>
                <c:pt idx="11">
                  <c:v>106.08</c:v>
                </c:pt>
                <c:pt idx="12">
                  <c:v>105.35</c:v>
                </c:pt>
                <c:pt idx="13">
                  <c:v>104.56</c:v>
                </c:pt>
                <c:pt idx="14">
                  <c:v>101.85</c:v>
                </c:pt>
                <c:pt idx="15">
                  <c:v>102.02</c:v>
                </c:pt>
                <c:pt idx="16">
                  <c:v>93.4</c:v>
                </c:pt>
                <c:pt idx="17">
                  <c:v>104.47</c:v>
                </c:pt>
                <c:pt idx="18">
                  <c:v>104.82</c:v>
                </c:pt>
                <c:pt idx="19">
                  <c:v>105.44</c:v>
                </c:pt>
                <c:pt idx="20">
                  <c:v>105.61</c:v>
                </c:pt>
                <c:pt idx="21">
                  <c:v>102.54</c:v>
                </c:pt>
                <c:pt idx="22">
                  <c:v>97.42</c:v>
                </c:pt>
                <c:pt idx="23">
                  <c:v>94.31</c:v>
                </c:pt>
                <c:pt idx="24">
                  <c:v>105.78</c:v>
                </c:pt>
                <c:pt idx="25">
                  <c:v>102.56</c:v>
                </c:pt>
                <c:pt idx="26">
                  <c:v>102.94</c:v>
                </c:pt>
                <c:pt idx="27">
                  <c:v>104.88</c:v>
                </c:pt>
                <c:pt idx="28">
                  <c:v>102.74</c:v>
                </c:pt>
                <c:pt idx="29">
                  <c:v>96.95</c:v>
                </c:pt>
                <c:pt idx="30">
                  <c:v>84.61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2958827"/>
        <c:axId val="856060525"/>
      </c:lineChart>
      <c:catAx>
        <c:axId val="342958827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lang="en-US" altLang="zh-CN"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60525"/>
        <c:crosses val="autoZero"/>
        <c:auto val="1"/>
        <c:lblAlgn val="ctr"/>
        <c:lblOffset val="100"/>
        <c:tickMarkSkip val="1"/>
        <c:noMultiLvlLbl val="0"/>
      </c:catAx>
      <c:valAx>
        <c:axId val="856060525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9588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蓝思黄花2025年</a:t>
            </a:r>
            <a:r>
              <a:rPr lang="en-US" altLang="zh-CN"/>
              <a:t>9</a:t>
            </a:r>
            <a:r>
              <a:t>月日最高实际负荷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'2025.9'!$N$3:$N$32</c:f>
              <c:numCache>
                <c:formatCode>0_ </c:formatCode>
                <c:ptCount val="30"/>
                <c:pt idx="0">
                  <c:v>103.95</c:v>
                </c:pt>
                <c:pt idx="1">
                  <c:v>103.64</c:v>
                </c:pt>
                <c:pt idx="2">
                  <c:v>106.34</c:v>
                </c:pt>
                <c:pt idx="3">
                  <c:v>105.43</c:v>
                </c:pt>
                <c:pt idx="4">
                  <c:v>109.75</c:v>
                </c:pt>
                <c:pt idx="5">
                  <c:v>109</c:v>
                </c:pt>
                <c:pt idx="6">
                  <c:v>97.95</c:v>
                </c:pt>
                <c:pt idx="7">
                  <c:v>109.36</c:v>
                </c:pt>
                <c:pt idx="8">
                  <c:v>107.4</c:v>
                </c:pt>
                <c:pt idx="9">
                  <c:v>107.91</c:v>
                </c:pt>
                <c:pt idx="10">
                  <c:v>106.93</c:v>
                </c:pt>
                <c:pt idx="11">
                  <c:v>108.64</c:v>
                </c:pt>
                <c:pt idx="12">
                  <c:v>106.91</c:v>
                </c:pt>
                <c:pt idx="13">
                  <c:v>98.05</c:v>
                </c:pt>
                <c:pt idx="14">
                  <c:v>108.49</c:v>
                </c:pt>
                <c:pt idx="15">
                  <c:v>106.85</c:v>
                </c:pt>
                <c:pt idx="16">
                  <c:v>107.78</c:v>
                </c:pt>
                <c:pt idx="17">
                  <c:v>104.02</c:v>
                </c:pt>
                <c:pt idx="18">
                  <c:v>99.19</c:v>
                </c:pt>
                <c:pt idx="19">
                  <c:v>92.69</c:v>
                </c:pt>
                <c:pt idx="20">
                  <c:v>87.94</c:v>
                </c:pt>
                <c:pt idx="21">
                  <c:v>98.23</c:v>
                </c:pt>
                <c:pt idx="22">
                  <c:v>99.2</c:v>
                </c:pt>
                <c:pt idx="23">
                  <c:v>95.69</c:v>
                </c:pt>
                <c:pt idx="24">
                  <c:v>99.45</c:v>
                </c:pt>
                <c:pt idx="25">
                  <c:v>97.04</c:v>
                </c:pt>
                <c:pt idx="26">
                  <c:v>93</c:v>
                </c:pt>
                <c:pt idx="27">
                  <c:v>87.41</c:v>
                </c:pt>
                <c:pt idx="28">
                  <c:v>88.19</c:v>
                </c:pt>
                <c:pt idx="29">
                  <c:v>81.58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2958827"/>
        <c:axId val="856060525"/>
      </c:lineChart>
      <c:catAx>
        <c:axId val="342958827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lang="en-US" altLang="zh-CN"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60525"/>
        <c:crosses val="autoZero"/>
        <c:auto val="1"/>
        <c:lblAlgn val="ctr"/>
        <c:lblOffset val="100"/>
        <c:tickMarkSkip val="1"/>
        <c:noMultiLvlLbl val="0"/>
      </c:catAx>
      <c:valAx>
        <c:axId val="856060525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9588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蓝思黄花2025年1</a:t>
            </a:r>
            <a:r>
              <a:rPr lang="en-US" altLang="zh-CN"/>
              <a:t>0</a:t>
            </a:r>
            <a:r>
              <a:t>月日最高实际负荷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'2025.10'!$N$3:$N$33</c:f>
              <c:numCache>
                <c:formatCode>0_ </c:formatCode>
                <c:ptCount val="31"/>
                <c:pt idx="0">
                  <c:v>15.34</c:v>
                </c:pt>
                <c:pt idx="1">
                  <c:v>14.86</c:v>
                </c:pt>
                <c:pt idx="2">
                  <c:v>20.53</c:v>
                </c:pt>
                <c:pt idx="3">
                  <c:v>30.68</c:v>
                </c:pt>
                <c:pt idx="4">
                  <c:v>31.25</c:v>
                </c:pt>
                <c:pt idx="5">
                  <c:v>38.95</c:v>
                </c:pt>
                <c:pt idx="6">
                  <c:v>98.51</c:v>
                </c:pt>
                <c:pt idx="7">
                  <c:v>104.39</c:v>
                </c:pt>
                <c:pt idx="8">
                  <c:v>107.5</c:v>
                </c:pt>
                <c:pt idx="9">
                  <c:v>106.83</c:v>
                </c:pt>
                <c:pt idx="10">
                  <c:v>105.52</c:v>
                </c:pt>
                <c:pt idx="11">
                  <c:v>95.06</c:v>
                </c:pt>
                <c:pt idx="12">
                  <c:v>97.52</c:v>
                </c:pt>
                <c:pt idx="13">
                  <c:v>95.86</c:v>
                </c:pt>
                <c:pt idx="14">
                  <c:v>98.13</c:v>
                </c:pt>
                <c:pt idx="15">
                  <c:v>97.51</c:v>
                </c:pt>
                <c:pt idx="16">
                  <c:v>98.29</c:v>
                </c:pt>
                <c:pt idx="17">
                  <c:v>94.85</c:v>
                </c:pt>
                <c:pt idx="18">
                  <c:v>87.5</c:v>
                </c:pt>
                <c:pt idx="19">
                  <c:v>93.57</c:v>
                </c:pt>
                <c:pt idx="20">
                  <c:v>92.91</c:v>
                </c:pt>
                <c:pt idx="21">
                  <c:v>93.92</c:v>
                </c:pt>
                <c:pt idx="22">
                  <c:v>93.18</c:v>
                </c:pt>
                <c:pt idx="23">
                  <c:v>92.44</c:v>
                </c:pt>
                <c:pt idx="24">
                  <c:v>93.14</c:v>
                </c:pt>
                <c:pt idx="25">
                  <c:v>85.91</c:v>
                </c:pt>
                <c:pt idx="26">
                  <c:v>94.57</c:v>
                </c:pt>
                <c:pt idx="27">
                  <c:v>96.4</c:v>
                </c:pt>
                <c:pt idx="28">
                  <c:v>95.59</c:v>
                </c:pt>
                <c:pt idx="29">
                  <c:v>98.18</c:v>
                </c:pt>
                <c:pt idx="30">
                  <c:v>96.19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2958827"/>
        <c:axId val="856060525"/>
      </c:lineChart>
      <c:catAx>
        <c:axId val="342958827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lang="en-US" altLang="zh-CN"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060525"/>
        <c:crosses val="autoZero"/>
        <c:auto val="1"/>
        <c:lblAlgn val="ctr"/>
        <c:lblOffset val="100"/>
        <c:tickMarkSkip val="1"/>
        <c:noMultiLvlLbl val="0"/>
      </c:catAx>
      <c:valAx>
        <c:axId val="856060525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9588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10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蓝思黄花2025年1</a:t>
            </a:r>
            <a:r>
              <a:rPr lang="en-US" altLang="zh-CN" sz="1400" b="1" i="0" u="none" strike="noStrike" kern="1200" cap="none" spc="10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sz="1400" b="1" i="0" u="none" strike="noStrike" kern="1200" cap="none" spc="10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10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47147227828138"/>
          <c:y val="0.02833960489181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'11月'!$AB$4:$AB$91</c:f>
              <c:numCache>
                <c:formatCode>0_ </c:formatCode>
                <c:ptCount val="30"/>
                <c:pt idx="0">
                  <c:v>95.6419</c:v>
                </c:pt>
                <c:pt idx="1">
                  <c:v>86.0429</c:v>
                </c:pt>
                <c:pt idx="2">
                  <c:v>96.775</c:v>
                </c:pt>
                <c:pt idx="3">
                  <c:v>96.4533</c:v>
                </c:pt>
                <c:pt idx="4">
                  <c:v>96.6598</c:v>
                </c:pt>
                <c:pt idx="5">
                  <c:v>97.9299</c:v>
                </c:pt>
                <c:pt idx="6">
                  <c:v>98.4896</c:v>
                </c:pt>
                <c:pt idx="7">
                  <c:v>97.3614</c:v>
                </c:pt>
                <c:pt idx="8">
                  <c:v>87.861</c:v>
                </c:pt>
                <c:pt idx="9">
                  <c:v>97.3773</c:v>
                </c:pt>
                <c:pt idx="10">
                  <c:v>97.5832</c:v>
                </c:pt>
                <c:pt idx="11">
                  <c:v>99.6248</c:v>
                </c:pt>
                <c:pt idx="12">
                  <c:v>98.5477</c:v>
                </c:pt>
                <c:pt idx="13">
                  <c:v>99.1813</c:v>
                </c:pt>
                <c:pt idx="14">
                  <c:v>98.5195</c:v>
                </c:pt>
                <c:pt idx="15">
                  <c:v>90.9693</c:v>
                </c:pt>
                <c:pt idx="16">
                  <c:v>100.487</c:v>
                </c:pt>
                <c:pt idx="17">
                  <c:v>102.664</c:v>
                </c:pt>
                <c:pt idx="18">
                  <c:v>100.348</c:v>
                </c:pt>
                <c:pt idx="19">
                  <c:v>102.157</c:v>
                </c:pt>
                <c:pt idx="20">
                  <c:v>101.434</c:v>
                </c:pt>
                <c:pt idx="21">
                  <c:v>97.8366</c:v>
                </c:pt>
                <c:pt idx="22">
                  <c:v>91.541</c:v>
                </c:pt>
                <c:pt idx="23">
                  <c:v>99.0722</c:v>
                </c:pt>
                <c:pt idx="24">
                  <c:v>100.663</c:v>
                </c:pt>
                <c:pt idx="25">
                  <c:v>100.343</c:v>
                </c:pt>
                <c:pt idx="26">
                  <c:v>99.917</c:v>
                </c:pt>
                <c:pt idx="27">
                  <c:v>100.489</c:v>
                </c:pt>
                <c:pt idx="28">
                  <c:v>94.8869</c:v>
                </c:pt>
                <c:pt idx="29">
                  <c:v>87.8029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9821013"/>
        <c:axId val="604876295"/>
      </c:lineChart>
      <c:catAx>
        <c:axId val="359821013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sz="10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507993505603662"/>
              <c:y val="0.9552336649358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876295"/>
        <c:crosses val="autoZero"/>
        <c:auto val="1"/>
        <c:lblAlgn val="ctr"/>
        <c:lblOffset val="100"/>
        <c:tickMarkSkip val="1"/>
        <c:noMultiLvlLbl val="0"/>
      </c:catAx>
      <c:valAx>
        <c:axId val="604876295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12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8210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2025</a:t>
            </a:r>
            <a:r>
              <a:rPr altLang="en-US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年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12</a:t>
            </a:r>
            <a:r>
              <a:rPr altLang="en-US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altLang="en-US" sz="1400" b="1" i="0" u="none" strike="noStrike" kern="1200" cap="none" spc="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8101143072075"/>
          <c:y val="0.01909955205099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90663217309501"/>
          <c:y val="0.0896048918156162"/>
          <c:w val="0.932114299153339"/>
          <c:h val="0.820249294449671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'12月'!$AB$5:$AB$95</c:f>
              <c:numCache>
                <c:formatCode>0_ </c:formatCode>
                <c:ptCount val="31"/>
                <c:pt idx="0">
                  <c:v>98.8275</c:v>
                </c:pt>
                <c:pt idx="1">
                  <c:v>99.2165</c:v>
                </c:pt>
                <c:pt idx="2">
                  <c:v>99.095</c:v>
                </c:pt>
                <c:pt idx="3">
                  <c:v>99.748</c:v>
                </c:pt>
                <c:pt idx="4">
                  <c:v>98.4456</c:v>
                </c:pt>
                <c:pt idx="5">
                  <c:v>98.2749</c:v>
                </c:pt>
                <c:pt idx="6">
                  <c:v>73.4125</c:v>
                </c:pt>
                <c:pt idx="7">
                  <c:v>93.7376</c:v>
                </c:pt>
                <c:pt idx="8">
                  <c:v>94.4997</c:v>
                </c:pt>
                <c:pt idx="9">
                  <c:v>93.6848</c:v>
                </c:pt>
                <c:pt idx="10">
                  <c:v>89.0523</c:v>
                </c:pt>
                <c:pt idx="11">
                  <c:v>91.6872</c:v>
                </c:pt>
                <c:pt idx="12">
                  <c:v>91.4654</c:v>
                </c:pt>
                <c:pt idx="13">
                  <c:v>82.6105</c:v>
                </c:pt>
                <c:pt idx="14">
                  <c:v>95.0805</c:v>
                </c:pt>
                <c:pt idx="15">
                  <c:v>95.8637</c:v>
                </c:pt>
                <c:pt idx="16">
                  <c:v>95.6315</c:v>
                </c:pt>
                <c:pt idx="17">
                  <c:v>95.2738</c:v>
                </c:pt>
                <c:pt idx="18">
                  <c:v>87.2186</c:v>
                </c:pt>
                <c:pt idx="19">
                  <c:v>81.4634</c:v>
                </c:pt>
                <c:pt idx="20">
                  <c:v>74.2702</c:v>
                </c:pt>
                <c:pt idx="21">
                  <c:v>92.8695</c:v>
                </c:pt>
                <c:pt idx="22">
                  <c:v>97.2066</c:v>
                </c:pt>
                <c:pt idx="23">
                  <c:v>98.4958</c:v>
                </c:pt>
                <c:pt idx="24">
                  <c:v>98.1306</c:v>
                </c:pt>
                <c:pt idx="25">
                  <c:v>95.9482</c:v>
                </c:pt>
                <c:pt idx="26">
                  <c:v>97.5938</c:v>
                </c:pt>
                <c:pt idx="27">
                  <c:v>79.8459</c:v>
                </c:pt>
                <c:pt idx="28">
                  <c:v>85.441</c:v>
                </c:pt>
                <c:pt idx="29">
                  <c:v>83.4786</c:v>
                </c:pt>
                <c:pt idx="30">
                  <c:v>35.6712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5481064"/>
        <c:axId val="641053847"/>
      </c:lineChart>
      <c:catAx>
        <c:axId val="405481064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sz="10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053847"/>
        <c:crosses val="autoZero"/>
        <c:auto val="1"/>
        <c:lblAlgn val="ctr"/>
        <c:lblOffset val="100"/>
        <c:tickMarkSkip val="1"/>
        <c:noMultiLvlLbl val="0"/>
      </c:catAx>
      <c:valAx>
        <c:axId val="641053847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10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48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蓝思黄花2026年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'1月'!$AB$5:$AB$95</c:f>
              <c:numCache>
                <c:formatCode>0_ </c:formatCode>
                <c:ptCount val="31"/>
                <c:pt idx="0">
                  <c:v>24.1965</c:v>
                </c:pt>
                <c:pt idx="1">
                  <c:v>77.7621</c:v>
                </c:pt>
                <c:pt idx="2">
                  <c:v>84.9358</c:v>
                </c:pt>
                <c:pt idx="3">
                  <c:v>77.3538</c:v>
                </c:pt>
                <c:pt idx="4">
                  <c:v>94.3716</c:v>
                </c:pt>
                <c:pt idx="5">
                  <c:v>97.7346</c:v>
                </c:pt>
                <c:pt idx="6">
                  <c:v>96.573</c:v>
                </c:pt>
                <c:pt idx="7">
                  <c:v>96.1488</c:v>
                </c:pt>
                <c:pt idx="8">
                  <c:v>97.2787</c:v>
                </c:pt>
                <c:pt idx="9">
                  <c:v>96.1822</c:v>
                </c:pt>
                <c:pt idx="10">
                  <c:v>76.3224</c:v>
                </c:pt>
                <c:pt idx="11">
                  <c:v>98.3145</c:v>
                </c:pt>
                <c:pt idx="12">
                  <c:v>96.0712</c:v>
                </c:pt>
                <c:pt idx="13">
                  <c:v>95.6947</c:v>
                </c:pt>
                <c:pt idx="14">
                  <c:v>98.069</c:v>
                </c:pt>
                <c:pt idx="15">
                  <c:v>98.7219</c:v>
                </c:pt>
                <c:pt idx="16">
                  <c:v>97.8965</c:v>
                </c:pt>
                <c:pt idx="17">
                  <c:v>75.415</c:v>
                </c:pt>
                <c:pt idx="18">
                  <c:v>102.275</c:v>
                </c:pt>
                <c:pt idx="19">
                  <c:v>105.512</c:v>
                </c:pt>
                <c:pt idx="20">
                  <c:v>107.946</c:v>
                </c:pt>
                <c:pt idx="21">
                  <c:v>105.602</c:v>
                </c:pt>
                <c:pt idx="22">
                  <c:v>102.254</c:v>
                </c:pt>
                <c:pt idx="23">
                  <c:v>99.8254</c:v>
                </c:pt>
                <c:pt idx="24">
                  <c:v>84.1533</c:v>
                </c:pt>
                <c:pt idx="25">
                  <c:v>102.497</c:v>
                </c:pt>
                <c:pt idx="26">
                  <c:v>100.86</c:v>
                </c:pt>
                <c:pt idx="27">
                  <c:v>99.521</c:v>
                </c:pt>
                <c:pt idx="28">
                  <c:v>102.26</c:v>
                </c:pt>
                <c:pt idx="29">
                  <c:v>105.398</c:v>
                </c:pt>
                <c:pt idx="30">
                  <c:v>103.536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3630988"/>
        <c:axId val="558410389"/>
      </c:lineChart>
      <c:catAx>
        <c:axId val="793630988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410389"/>
        <c:crosses val="autoZero"/>
        <c:auto val="1"/>
        <c:lblAlgn val="ctr"/>
        <c:lblOffset val="100"/>
        <c:tickMarkSkip val="1"/>
        <c:noMultiLvlLbl val="0"/>
      </c:catAx>
      <c:valAx>
        <c:axId val="558410389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6309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年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12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'2月'!$AB$5:$AB$86</c:f>
              <c:numCache>
                <c:formatCode>0_ </c:formatCode>
                <c:ptCount val="28"/>
                <c:pt idx="0">
                  <c:v>93.2478</c:v>
                </c:pt>
                <c:pt idx="1">
                  <c:v>100.336</c:v>
                </c:pt>
                <c:pt idx="2">
                  <c:v>99.7656</c:v>
                </c:pt>
                <c:pt idx="3">
                  <c:v>99.8906</c:v>
                </c:pt>
                <c:pt idx="4">
                  <c:v>100.1033</c:v>
                </c:pt>
                <c:pt idx="5">
                  <c:v>99.4966</c:v>
                </c:pt>
                <c:pt idx="6">
                  <c:v>99.9152</c:v>
                </c:pt>
                <c:pt idx="7">
                  <c:v>91.3264</c:v>
                </c:pt>
                <c:pt idx="8">
                  <c:v>99.9012</c:v>
                </c:pt>
                <c:pt idx="9">
                  <c:v>99.7541</c:v>
                </c:pt>
                <c:pt idx="10">
                  <c:v>92.6351</c:v>
                </c:pt>
                <c:pt idx="11">
                  <c:v>92.1925</c:v>
                </c:pt>
                <c:pt idx="12">
                  <c:v>80.9213</c:v>
                </c:pt>
                <c:pt idx="13">
                  <c:v>65.3365</c:v>
                </c:pt>
                <c:pt idx="14">
                  <c:v>30.2667</c:v>
                </c:pt>
                <c:pt idx="15">
                  <c:v>10.032</c:v>
                </c:pt>
                <c:pt idx="16">
                  <c:v>9.78952</c:v>
                </c:pt>
                <c:pt idx="17">
                  <c:v>9.65184</c:v>
                </c:pt>
                <c:pt idx="18">
                  <c:v>11.44176</c:v>
                </c:pt>
                <c:pt idx="19">
                  <c:v>46.2458</c:v>
                </c:pt>
                <c:pt idx="20">
                  <c:v>63.346</c:v>
                </c:pt>
                <c:pt idx="21">
                  <c:v>65.3981</c:v>
                </c:pt>
                <c:pt idx="22">
                  <c:v>83.076</c:v>
                </c:pt>
                <c:pt idx="23">
                  <c:v>91.0184</c:v>
                </c:pt>
                <c:pt idx="24">
                  <c:v>94.945</c:v>
                </c:pt>
                <c:pt idx="25">
                  <c:v>97.2558</c:v>
                </c:pt>
                <c:pt idx="26">
                  <c:v>96.2861</c:v>
                </c:pt>
                <c:pt idx="27">
                  <c:v>96.888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4510646"/>
        <c:axId val="647436501"/>
      </c:lineChart>
      <c:catAx>
        <c:axId val="374510646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10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sz="10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436501"/>
        <c:crosses val="autoZero"/>
        <c:auto val="1"/>
        <c:lblAlgn val="ctr"/>
        <c:lblOffset val="100"/>
        <c:tickMarkSkip val="1"/>
        <c:noMultiLvlLbl val="0"/>
      </c:catAx>
      <c:valAx>
        <c:axId val="647436501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10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10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5106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年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'3月'!$AB$5:$AB$95</c:f>
              <c:numCache>
                <c:formatCode>0_ </c:formatCode>
                <c:ptCount val="31"/>
                <c:pt idx="0">
                  <c:v>87.8751</c:v>
                </c:pt>
                <c:pt idx="1">
                  <c:v>101.4006</c:v>
                </c:pt>
                <c:pt idx="2">
                  <c:v>102.5992</c:v>
                </c:pt>
                <c:pt idx="3">
                  <c:v>100.6597</c:v>
                </c:pt>
                <c:pt idx="4">
                  <c:v>98.9156</c:v>
                </c:pt>
                <c:pt idx="5">
                  <c:v>99.8571</c:v>
                </c:pt>
                <c:pt idx="6">
                  <c:v>101.4798</c:v>
                </c:pt>
                <c:pt idx="7">
                  <c:v>93.7393</c:v>
                </c:pt>
                <c:pt idx="8">
                  <c:v>103.3472</c:v>
                </c:pt>
                <c:pt idx="9">
                  <c:v>103.569</c:v>
                </c:pt>
                <c:pt idx="10">
                  <c:v>99.0658</c:v>
                </c:pt>
                <c:pt idx="11">
                  <c:v>98.3777</c:v>
                </c:pt>
                <c:pt idx="12">
                  <c:v>97.027</c:v>
                </c:pt>
                <c:pt idx="13">
                  <c:v>97.6571</c:v>
                </c:pt>
                <c:pt idx="14">
                  <c:v>96.1615</c:v>
                </c:pt>
                <c:pt idx="15">
                  <c:v>102.4461</c:v>
                </c:pt>
                <c:pt idx="16">
                  <c:v>103.2609</c:v>
                </c:pt>
                <c:pt idx="17">
                  <c:v>102.2001</c:v>
                </c:pt>
                <c:pt idx="18">
                  <c:v>101.2035</c:v>
                </c:pt>
                <c:pt idx="19">
                  <c:v>102.0272</c:v>
                </c:pt>
                <c:pt idx="20">
                  <c:v>98.9965</c:v>
                </c:pt>
                <c:pt idx="21">
                  <c:v>95.0013</c:v>
                </c:pt>
                <c:pt idx="22">
                  <c:v>100.6386</c:v>
                </c:pt>
                <c:pt idx="23">
                  <c:v>102.1345</c:v>
                </c:pt>
                <c:pt idx="24">
                  <c:v>100.3165</c:v>
                </c:pt>
                <c:pt idx="25">
                  <c:v>102.1275</c:v>
                </c:pt>
                <c:pt idx="26">
                  <c:v>100.7019</c:v>
                </c:pt>
                <c:pt idx="27">
                  <c:v>101.9111</c:v>
                </c:pt>
                <c:pt idx="28">
                  <c:v>95.8954</c:v>
                </c:pt>
                <c:pt idx="29">
                  <c:v>103.0973</c:v>
                </c:pt>
                <c:pt idx="30">
                  <c:v>103.3788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780371"/>
        <c:axId val="915744810"/>
      </c:lineChart>
      <c:catAx>
        <c:axId val="453780371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lang="en-US" altLang="zh-CN"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744810"/>
        <c:crosses val="autoZero"/>
        <c:auto val="1"/>
        <c:lblAlgn val="ctr"/>
        <c:lblOffset val="100"/>
        <c:tickMarkSkip val="1"/>
        <c:noMultiLvlLbl val="0"/>
      </c:catAx>
      <c:valAx>
        <c:axId val="91574481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7803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年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4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10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'4月'!$AC$5:$AC$92</c:f>
              <c:numCache>
                <c:formatCode>0_ </c:formatCode>
                <c:ptCount val="30"/>
                <c:pt idx="0">
                  <c:v>100.8092</c:v>
                </c:pt>
                <c:pt idx="1">
                  <c:v>102.7946</c:v>
                </c:pt>
                <c:pt idx="2">
                  <c:v>101.2451</c:v>
                </c:pt>
                <c:pt idx="3">
                  <c:v>92.5065</c:v>
                </c:pt>
                <c:pt idx="4">
                  <c:v>35.2809</c:v>
                </c:pt>
                <c:pt idx="5">
                  <c:v>87.9612</c:v>
                </c:pt>
                <c:pt idx="6">
                  <c:v>101.0627</c:v>
                </c:pt>
                <c:pt idx="7">
                  <c:v>104.8907</c:v>
                </c:pt>
                <c:pt idx="8">
                  <c:v>108.6184</c:v>
                </c:pt>
                <c:pt idx="9">
                  <c:v>108.1361</c:v>
                </c:pt>
                <c:pt idx="10">
                  <c:v>106.1791</c:v>
                </c:pt>
                <c:pt idx="11">
                  <c:v>98.1939</c:v>
                </c:pt>
                <c:pt idx="12">
                  <c:v>107.7718</c:v>
                </c:pt>
                <c:pt idx="13">
                  <c:v>105.1635</c:v>
                </c:pt>
                <c:pt idx="14">
                  <c:v>105.8605</c:v>
                </c:pt>
                <c:pt idx="15">
                  <c:v>104.8625</c:v>
                </c:pt>
                <c:pt idx="16">
                  <c:v>104.7218</c:v>
                </c:pt>
                <c:pt idx="17">
                  <c:v>101.1085</c:v>
                </c:pt>
                <c:pt idx="18">
                  <c:v>98.553</c:v>
                </c:pt>
                <c:pt idx="19">
                  <c:v>107.2614</c:v>
                </c:pt>
                <c:pt idx="20">
                  <c:v>104.8361</c:v>
                </c:pt>
                <c:pt idx="21">
                  <c:v>104.2572</c:v>
                </c:pt>
                <c:pt idx="22">
                  <c:v>101.918</c:v>
                </c:pt>
                <c:pt idx="23">
                  <c:v>102.9125</c:v>
                </c:pt>
                <c:pt idx="24">
                  <c:v>101.8238</c:v>
                </c:pt>
                <c:pt idx="25">
                  <c:v>99.1865</c:v>
                </c:pt>
                <c:pt idx="26">
                  <c:v>108.9915</c:v>
                </c:pt>
                <c:pt idx="27">
                  <c:v>108.4231</c:v>
                </c:pt>
                <c:pt idx="28">
                  <c:v>103.1941</c:v>
                </c:pt>
                <c:pt idx="29">
                  <c:v>95.8971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527498"/>
        <c:axId val="184984392"/>
      </c:lineChart>
      <c:catAx>
        <c:axId val="96527498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984392"/>
        <c:crosses val="autoZero"/>
        <c:auto val="1"/>
        <c:lblAlgn val="ctr"/>
        <c:lblOffset val="100"/>
        <c:tickMarkSkip val="1"/>
        <c:noMultiLvlLbl val="0"/>
      </c:catAx>
      <c:valAx>
        <c:axId val="184984392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9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9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2749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年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9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'5月'!$AC$5:$AC$95</c:f>
              <c:numCache>
                <c:formatCode>0_ </c:formatCode>
                <c:ptCount val="31"/>
                <c:pt idx="0">
                  <c:v>26.5601</c:v>
                </c:pt>
                <c:pt idx="1">
                  <c:v>27.5757</c:v>
                </c:pt>
                <c:pt idx="2">
                  <c:v>69.7326</c:v>
                </c:pt>
                <c:pt idx="3">
                  <c:v>86.8155</c:v>
                </c:pt>
                <c:pt idx="4">
                  <c:v>99.7075</c:v>
                </c:pt>
                <c:pt idx="5">
                  <c:v>107.2863</c:v>
                </c:pt>
                <c:pt idx="6">
                  <c:v>113.5358</c:v>
                </c:pt>
                <c:pt idx="7">
                  <c:v>107.4868</c:v>
                </c:pt>
                <c:pt idx="8">
                  <c:v>104.6108</c:v>
                </c:pt>
                <c:pt idx="9">
                  <c:v>99.7867</c:v>
                </c:pt>
                <c:pt idx="10">
                  <c:v>109.8275</c:v>
                </c:pt>
                <c:pt idx="11">
                  <c:v>114.0868</c:v>
                </c:pt>
                <c:pt idx="12">
                  <c:v>113.0888</c:v>
                </c:pt>
                <c:pt idx="13">
                  <c:v>114.136</c:v>
                </c:pt>
                <c:pt idx="14">
                  <c:v>115.6196</c:v>
                </c:pt>
                <c:pt idx="15">
                  <c:v>110.477</c:v>
                </c:pt>
                <c:pt idx="16">
                  <c:v>104.0283</c:v>
                </c:pt>
                <c:pt idx="17">
                  <c:v>113.8667</c:v>
                </c:pt>
                <c:pt idx="18">
                  <c:v>114.753</c:v>
                </c:pt>
                <c:pt idx="19">
                  <c:v>112.64</c:v>
                </c:pt>
                <c:pt idx="20">
                  <c:v>115.0476</c:v>
                </c:pt>
                <c:pt idx="21">
                  <c:v>118.6223</c:v>
                </c:pt>
                <c:pt idx="22">
                  <c:v>118.1413</c:v>
                </c:pt>
                <c:pt idx="23">
                  <c:v>111.658</c:v>
                </c:pt>
                <c:pt idx="24">
                  <c:v>121.2282</c:v>
                </c:pt>
                <c:pt idx="25">
                  <c:v>122.922</c:v>
                </c:pt>
                <c:pt idx="26">
                  <c:v>130.2151</c:v>
                </c:pt>
                <c:pt idx="27">
                  <c:v>119.9088</c:v>
                </c:pt>
                <c:pt idx="28">
                  <c:v>117.4543</c:v>
                </c:pt>
                <c:pt idx="29">
                  <c:v>111.3658</c:v>
                </c:pt>
                <c:pt idx="30">
                  <c:v>103.7555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1949571"/>
        <c:axId val="129778460"/>
      </c:lineChart>
      <c:catAx>
        <c:axId val="131949571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日期</a:t>
                </a:r>
                <a:endParaRPr sz="12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778460"/>
        <c:crosses val="autoZero"/>
        <c:auto val="1"/>
        <c:lblAlgn val="ctr"/>
        <c:lblOffset val="100"/>
        <c:tickMarkSkip val="1"/>
        <c:noMultiLvlLbl val="0"/>
      </c:catAx>
      <c:valAx>
        <c:axId val="12977846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9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12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9495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1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蓝思黄花202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年</a:t>
            </a:r>
            <a:r>
              <a:rPr lang="en-US" altLang="zh-CN"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sz="1400" b="1" i="0" u="none" strike="noStrike" kern="1200" cap="none" spc="0" normalizeH="0" baseline="0">
                <a:solidFill>
                  <a:schemeClr val="lt1">
                    <a:lumMod val="85000"/>
                  </a:schemeClr>
                </a:solidFill>
                <a:effectLst/>
                <a:latin typeface="+mn-lt"/>
                <a:ea typeface="+mn-ea"/>
                <a:cs typeface="+mn-cs"/>
              </a:rPr>
              <a:t>月日最高实际负荷</a:t>
            </a:r>
            <a:endParaRPr sz="1400" b="1" i="0" u="none" strike="noStrike" kern="1200" cap="none" spc="0" normalizeH="0" baseline="0">
              <a:solidFill>
                <a:schemeClr val="lt1">
                  <a:lumMod val="85000"/>
                </a:scheme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alpha val="14000"/>
                  <a:satMod val="175000"/>
                </a:schemeClr>
              </a:glow>
            </a:effectLst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anchor="ctr" anchorCtr="1"/>
              <a:lstStyle/>
              <a:p>
                <a:pPr>
                  <a:defRPr sz="1200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noFill/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'6月'!$AC$5:$AC$77</c:f>
              <c:numCache>
                <c:formatCode>0_ </c:formatCode>
                <c:ptCount val="25"/>
                <c:pt idx="0">
                  <c:v>118.5782</c:v>
                </c:pt>
                <c:pt idx="1">
                  <c:v>119.3755</c:v>
                </c:pt>
                <c:pt idx="2">
                  <c:v>124.3951</c:v>
                </c:pt>
                <c:pt idx="3">
                  <c:v>121.4717</c:v>
                </c:pt>
                <c:pt idx="4">
                  <c:v>124.8444</c:v>
                </c:pt>
                <c:pt idx="5">
                  <c:v>121.1179</c:v>
                </c:pt>
                <c:pt idx="6">
                  <c:v>115.8045</c:v>
                </c:pt>
                <c:pt idx="7">
                  <c:v>117.26</c:v>
                </c:pt>
                <c:pt idx="8">
                  <c:v>113.682</c:v>
                </c:pt>
                <c:pt idx="9">
                  <c:v>113.2525</c:v>
                </c:pt>
                <c:pt idx="10">
                  <c:v>117.8039</c:v>
                </c:pt>
                <c:pt idx="11">
                  <c:v>121.8448</c:v>
                </c:pt>
                <c:pt idx="12">
                  <c:v>117.002</c:v>
                </c:pt>
                <c:pt idx="13">
                  <c:v>109.736</c:v>
                </c:pt>
                <c:pt idx="14">
                  <c:v>116.8051</c:v>
                </c:pt>
                <c:pt idx="15">
                  <c:v>121.2272</c:v>
                </c:pt>
                <c:pt idx="16">
                  <c:v>121.6353</c:v>
                </c:pt>
                <c:pt idx="17">
                  <c:v>114.1149</c:v>
                </c:pt>
                <c:pt idx="18">
                  <c:v>42.3579</c:v>
                </c:pt>
                <c:pt idx="19">
                  <c:v>90.4725</c:v>
                </c:pt>
                <c:pt idx="20">
                  <c:v>98.4315</c:v>
                </c:pt>
                <c:pt idx="21">
                  <c:v>122.554</c:v>
                </c:pt>
                <c:pt idx="22">
                  <c:v>121.5332</c:v>
                </c:pt>
                <c:pt idx="23">
                  <c:v>122.3587</c:v>
                </c:pt>
                <c:pt idx="24">
                  <c:v>126.9576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9098037"/>
        <c:axId val="176367480"/>
      </c:lineChart>
      <c:catAx>
        <c:axId val="509098037"/>
        <c:scaling>
          <c:orientation val="minMax"/>
        </c:scaling>
        <c:delete val="0"/>
        <c:axPos val="b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12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宋体" charset="0"/>
                    <a:ea typeface="宋体" charset="0"/>
                    <a:cs typeface="+mn-cs"/>
                  </a:rPr>
                  <a:t>日期</a:t>
                </a:r>
                <a:endParaRPr lang="en-US" altLang="zh-CN" sz="12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宋体" charset="0"/>
                  <a:ea typeface="宋体" charset="0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507023359640792"/>
              <c:y val="0.9519082661348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367480"/>
        <c:crosses val="autoZero"/>
        <c:auto val="1"/>
        <c:lblAlgn val="ctr"/>
        <c:lblOffset val="100"/>
        <c:tickMarkSkip val="1"/>
        <c:noMultiLvlLbl val="0"/>
      </c:catAx>
      <c:valAx>
        <c:axId val="17636748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1400" b="1" kern="12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 i="0" u="none" strike="noStrike" kern="1200" cap="none" normalizeH="0" baseline="0">
                    <a:solidFill>
                      <a:schemeClr val="lt1">
                        <a:lumMod val="75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单位：兆瓦时</a:t>
                </a:r>
                <a:endParaRPr sz="1400" b="1" i="0" u="none" strike="noStrike" kern="1200" cap="none" normalizeH="0" baseline="0">
                  <a:solidFill>
                    <a:schemeClr val="lt1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0980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98425</xdr:colOff>
      <xdr:row>2</xdr:row>
      <xdr:rowOff>63500</xdr:rowOff>
    </xdr:from>
    <xdr:to>
      <xdr:col>24</xdr:col>
      <xdr:colOff>440690</xdr:colOff>
      <xdr:row>28</xdr:row>
      <xdr:rowOff>15240</xdr:rowOff>
    </xdr:to>
    <xdr:graphicFrame>
      <xdr:nvGraphicFramePr>
        <xdr:cNvPr id="2" name="图表 1"/>
        <xdr:cNvGraphicFramePr/>
      </xdr:nvGraphicFramePr>
      <xdr:xfrm>
        <a:off x="9718675" y="698500"/>
        <a:ext cx="7200265" cy="556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99695</xdr:colOff>
      <xdr:row>2</xdr:row>
      <xdr:rowOff>40640</xdr:rowOff>
    </xdr:from>
    <xdr:to>
      <xdr:col>24</xdr:col>
      <xdr:colOff>441960</xdr:colOff>
      <xdr:row>27</xdr:row>
      <xdr:rowOff>208280</xdr:rowOff>
    </xdr:to>
    <xdr:graphicFrame>
      <xdr:nvGraphicFramePr>
        <xdr:cNvPr id="2" name="图表 1"/>
        <xdr:cNvGraphicFramePr/>
      </xdr:nvGraphicFramePr>
      <xdr:xfrm>
        <a:off x="9719945" y="675640"/>
        <a:ext cx="7200265" cy="556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0</xdr:colOff>
      <xdr:row>2</xdr:row>
      <xdr:rowOff>0</xdr:rowOff>
    </xdr:from>
    <xdr:to>
      <xdr:col>24</xdr:col>
      <xdr:colOff>342265</xdr:colOff>
      <xdr:row>27</xdr:row>
      <xdr:rowOff>167640</xdr:rowOff>
    </xdr:to>
    <xdr:graphicFrame>
      <xdr:nvGraphicFramePr>
        <xdr:cNvPr id="2" name="图表 1"/>
        <xdr:cNvGraphicFramePr/>
      </xdr:nvGraphicFramePr>
      <xdr:xfrm>
        <a:off x="9620250" y="635000"/>
        <a:ext cx="7200265" cy="556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0</xdr:colOff>
      <xdr:row>2</xdr:row>
      <xdr:rowOff>0</xdr:rowOff>
    </xdr:from>
    <xdr:to>
      <xdr:col>24</xdr:col>
      <xdr:colOff>342265</xdr:colOff>
      <xdr:row>27</xdr:row>
      <xdr:rowOff>167640</xdr:rowOff>
    </xdr:to>
    <xdr:graphicFrame>
      <xdr:nvGraphicFramePr>
        <xdr:cNvPr id="2" name="图表 1"/>
        <xdr:cNvGraphicFramePr/>
      </xdr:nvGraphicFramePr>
      <xdr:xfrm>
        <a:off x="9639300" y="635000"/>
        <a:ext cx="7200265" cy="556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47625</xdr:colOff>
      <xdr:row>2</xdr:row>
      <xdr:rowOff>44450</xdr:rowOff>
    </xdr:from>
    <xdr:to>
      <xdr:col>24</xdr:col>
      <xdr:colOff>389890</xdr:colOff>
      <xdr:row>27</xdr:row>
      <xdr:rowOff>212090</xdr:rowOff>
    </xdr:to>
    <xdr:graphicFrame>
      <xdr:nvGraphicFramePr>
        <xdr:cNvPr id="2" name="图表 1"/>
        <xdr:cNvGraphicFramePr/>
      </xdr:nvGraphicFramePr>
      <xdr:xfrm>
        <a:off x="9686925" y="679450"/>
        <a:ext cx="7200265" cy="556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0</xdr:colOff>
      <xdr:row>3</xdr:row>
      <xdr:rowOff>0</xdr:rowOff>
    </xdr:from>
    <xdr:to>
      <xdr:col>24</xdr:col>
      <xdr:colOff>342265</xdr:colOff>
      <xdr:row>28</xdr:row>
      <xdr:rowOff>167640</xdr:rowOff>
    </xdr:to>
    <xdr:graphicFrame>
      <xdr:nvGraphicFramePr>
        <xdr:cNvPr id="2" name="图表 1"/>
        <xdr:cNvGraphicFramePr/>
      </xdr:nvGraphicFramePr>
      <xdr:xfrm>
        <a:off x="9639300" y="850900"/>
        <a:ext cx="7200265" cy="556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154305</xdr:colOff>
      <xdr:row>92</xdr:row>
      <xdr:rowOff>228600</xdr:rowOff>
    </xdr:from>
    <xdr:to>
      <xdr:col>24</xdr:col>
      <xdr:colOff>500380</xdr:colOff>
      <xdr:row>116</xdr:row>
      <xdr:rowOff>56515</xdr:rowOff>
    </xdr:to>
    <xdr:graphicFrame>
      <xdr:nvGraphicFramePr>
        <xdr:cNvPr id="10" name="图表 9"/>
        <xdr:cNvGraphicFramePr/>
      </xdr:nvGraphicFramePr>
      <xdr:xfrm>
        <a:off x="7790815" y="7235825"/>
        <a:ext cx="10737850" cy="5485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28575</xdr:colOff>
      <xdr:row>96</xdr:row>
      <xdr:rowOff>125730</xdr:rowOff>
    </xdr:from>
    <xdr:to>
      <xdr:col>18</xdr:col>
      <xdr:colOff>513080</xdr:colOff>
      <xdr:row>119</xdr:row>
      <xdr:rowOff>96520</xdr:rowOff>
    </xdr:to>
    <xdr:graphicFrame>
      <xdr:nvGraphicFramePr>
        <xdr:cNvPr id="2" name="图表 1"/>
        <xdr:cNvGraphicFramePr/>
      </xdr:nvGraphicFramePr>
      <xdr:xfrm>
        <a:off x="3333750" y="7434580"/>
        <a:ext cx="10800080" cy="5520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276225</xdr:colOff>
      <xdr:row>97</xdr:row>
      <xdr:rowOff>53975</xdr:rowOff>
    </xdr:from>
    <xdr:to>
      <xdr:col>19</xdr:col>
      <xdr:colOff>74930</xdr:colOff>
      <xdr:row>120</xdr:row>
      <xdr:rowOff>24765</xdr:rowOff>
    </xdr:to>
    <xdr:graphicFrame>
      <xdr:nvGraphicFramePr>
        <xdr:cNvPr id="3" name="图表 2"/>
        <xdr:cNvGraphicFramePr/>
      </xdr:nvGraphicFramePr>
      <xdr:xfrm>
        <a:off x="3600450" y="7883525"/>
        <a:ext cx="10800080" cy="5520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123825</xdr:colOff>
      <xdr:row>87</xdr:row>
      <xdr:rowOff>240030</xdr:rowOff>
    </xdr:from>
    <xdr:to>
      <xdr:col>26</xdr:col>
      <xdr:colOff>558165</xdr:colOff>
      <xdr:row>111</xdr:row>
      <xdr:rowOff>127635</xdr:rowOff>
    </xdr:to>
    <xdr:graphicFrame>
      <xdr:nvGraphicFramePr>
        <xdr:cNvPr id="2" name="图表 1"/>
        <xdr:cNvGraphicFramePr/>
      </xdr:nvGraphicFramePr>
      <xdr:xfrm>
        <a:off x="8963025" y="6951980"/>
        <a:ext cx="10826115" cy="5545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140335</xdr:colOff>
      <xdr:row>97</xdr:row>
      <xdr:rowOff>14605</xdr:rowOff>
    </xdr:from>
    <xdr:to>
      <xdr:col>23</xdr:col>
      <xdr:colOff>575310</xdr:colOff>
      <xdr:row>120</xdr:row>
      <xdr:rowOff>14605</xdr:rowOff>
    </xdr:to>
    <xdr:graphicFrame>
      <xdr:nvGraphicFramePr>
        <xdr:cNvPr id="2" name="图表 1"/>
        <xdr:cNvGraphicFramePr/>
      </xdr:nvGraphicFramePr>
      <xdr:xfrm>
        <a:off x="6922135" y="9539605"/>
        <a:ext cx="10826750" cy="554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210185</xdr:colOff>
      <xdr:row>94</xdr:row>
      <xdr:rowOff>19050</xdr:rowOff>
    </xdr:from>
    <xdr:to>
      <xdr:col>18</xdr:col>
      <xdr:colOff>628015</xdr:colOff>
      <xdr:row>116</xdr:row>
      <xdr:rowOff>204470</xdr:rowOff>
    </xdr:to>
    <xdr:graphicFrame>
      <xdr:nvGraphicFramePr>
        <xdr:cNvPr id="2" name="图表 1"/>
        <xdr:cNvGraphicFramePr/>
      </xdr:nvGraphicFramePr>
      <xdr:xfrm>
        <a:off x="3534410" y="9274175"/>
        <a:ext cx="10733405" cy="548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43815</xdr:colOff>
      <xdr:row>97</xdr:row>
      <xdr:rowOff>44450</xdr:rowOff>
    </xdr:from>
    <xdr:to>
      <xdr:col>25</xdr:col>
      <xdr:colOff>390525</xdr:colOff>
      <xdr:row>119</xdr:row>
      <xdr:rowOff>230505</xdr:rowOff>
    </xdr:to>
    <xdr:graphicFrame>
      <xdr:nvGraphicFramePr>
        <xdr:cNvPr id="2" name="图表 1"/>
        <xdr:cNvGraphicFramePr/>
      </xdr:nvGraphicFramePr>
      <xdr:xfrm>
        <a:off x="8197215" y="9553575"/>
        <a:ext cx="10738485" cy="548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83185</xdr:colOff>
      <xdr:row>94</xdr:row>
      <xdr:rowOff>31750</xdr:rowOff>
    </xdr:from>
    <xdr:to>
      <xdr:col>24</xdr:col>
      <xdr:colOff>59690</xdr:colOff>
      <xdr:row>125</xdr:row>
      <xdr:rowOff>47625</xdr:rowOff>
    </xdr:to>
    <xdr:graphicFrame>
      <xdr:nvGraphicFramePr>
        <xdr:cNvPr id="2" name="图表 1"/>
        <xdr:cNvGraphicFramePr/>
      </xdr:nvGraphicFramePr>
      <xdr:xfrm>
        <a:off x="3407410" y="9286875"/>
        <a:ext cx="14511655" cy="745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3"/>
  <sheetViews>
    <sheetView workbookViewId="0">
      <selection activeCell="R31" sqref="R31"/>
    </sheetView>
  </sheetViews>
  <sheetFormatPr defaultColWidth="9" defaultRowHeight="13.5"/>
  <cols>
    <col min="7" max="7" width="9.25"/>
    <col min="14" max="14" width="9" style="6"/>
  </cols>
  <sheetData>
    <row r="1" customFormat="1" ht="26" customHeight="1" spans="1:14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6" t="s">
        <v>1</v>
      </c>
    </row>
    <row r="2" customFormat="1" ht="24" customHeight="1" spans="1:14">
      <c r="A2" s="44" t="s">
        <v>2</v>
      </c>
      <c r="B2" s="45">
        <v>0</v>
      </c>
      <c r="C2" s="45">
        <v>0.0833333333333333</v>
      </c>
      <c r="D2" s="45">
        <v>0.166666666666667</v>
      </c>
      <c r="E2" s="45">
        <v>0.25</v>
      </c>
      <c r="F2" s="45">
        <v>0.333333333333333</v>
      </c>
      <c r="G2" s="45">
        <v>0.416666666666667</v>
      </c>
      <c r="H2" s="45">
        <v>0.5</v>
      </c>
      <c r="I2" s="45">
        <v>0.583333333333333</v>
      </c>
      <c r="J2" s="45">
        <v>0.666666666666667</v>
      </c>
      <c r="K2" s="45">
        <v>0.75</v>
      </c>
      <c r="L2" s="45">
        <v>0.833333333333333</v>
      </c>
      <c r="M2" s="45">
        <v>0.916666666666667</v>
      </c>
      <c r="N2" s="6" t="s">
        <v>3</v>
      </c>
    </row>
    <row r="3" customFormat="1" ht="17" customHeight="1" spans="1:14">
      <c r="A3" s="46">
        <v>1</v>
      </c>
      <c r="B3" s="47">
        <v>1.607</v>
      </c>
      <c r="C3" s="47">
        <v>1.532</v>
      </c>
      <c r="D3" s="47">
        <v>1.552</v>
      </c>
      <c r="E3" s="48">
        <v>1.483</v>
      </c>
      <c r="F3" s="48">
        <v>1.211</v>
      </c>
      <c r="G3" s="48">
        <v>0.419</v>
      </c>
      <c r="H3" s="48">
        <v>0.381</v>
      </c>
      <c r="I3" s="53">
        <v>0.306</v>
      </c>
      <c r="J3" s="53">
        <v>0.431</v>
      </c>
      <c r="K3" s="53">
        <v>1.214</v>
      </c>
      <c r="L3" s="48">
        <v>1.296</v>
      </c>
      <c r="M3" s="48">
        <v>1.335</v>
      </c>
      <c r="N3" s="6">
        <f t="shared" ref="N3:N13" si="0">MAX(B3:M3)*10</f>
        <v>16.07</v>
      </c>
    </row>
    <row r="4" customFormat="1" ht="17" customHeight="1" spans="1:14">
      <c r="A4" s="46">
        <v>2</v>
      </c>
      <c r="B4" s="49">
        <v>1.331</v>
      </c>
      <c r="C4" s="49">
        <v>1.346</v>
      </c>
      <c r="D4" s="49">
        <v>1.352</v>
      </c>
      <c r="E4" s="50">
        <v>1.305</v>
      </c>
      <c r="F4" s="50">
        <v>0.737</v>
      </c>
      <c r="G4" s="50">
        <v>0.425</v>
      </c>
      <c r="H4" s="50">
        <v>0.36</v>
      </c>
      <c r="I4" s="54">
        <v>0.404</v>
      </c>
      <c r="J4" s="54">
        <v>0.603</v>
      </c>
      <c r="K4" s="54">
        <v>1.398</v>
      </c>
      <c r="L4" s="50">
        <v>1.543</v>
      </c>
      <c r="M4" s="51">
        <v>1.607</v>
      </c>
      <c r="N4" s="6">
        <f t="shared" si="0"/>
        <v>16.07</v>
      </c>
    </row>
    <row r="5" customFormat="1" ht="17" customHeight="1" spans="1:14">
      <c r="A5" s="46">
        <v>3</v>
      </c>
      <c r="B5" s="48">
        <v>1.795</v>
      </c>
      <c r="C5" s="47">
        <v>2.695</v>
      </c>
      <c r="D5" s="47">
        <v>3.058</v>
      </c>
      <c r="E5" s="48">
        <v>3.036</v>
      </c>
      <c r="F5" s="48">
        <v>3.229</v>
      </c>
      <c r="G5" s="48">
        <v>3.559</v>
      </c>
      <c r="H5" s="48">
        <v>3.431</v>
      </c>
      <c r="I5" s="53">
        <v>4.317</v>
      </c>
      <c r="J5" s="53">
        <v>4.709</v>
      </c>
      <c r="K5" s="53">
        <v>4.454</v>
      </c>
      <c r="L5" s="48">
        <v>4.298</v>
      </c>
      <c r="M5" s="52">
        <v>4.607</v>
      </c>
      <c r="N5" s="6">
        <f t="shared" si="0"/>
        <v>47.09</v>
      </c>
    </row>
    <row r="6" customFormat="1" ht="17" customHeight="1" spans="1:14">
      <c r="A6" s="46">
        <v>4</v>
      </c>
      <c r="B6" s="50">
        <v>4.471</v>
      </c>
      <c r="C6" s="49">
        <v>4.428</v>
      </c>
      <c r="D6" s="49">
        <v>4.455</v>
      </c>
      <c r="E6" s="50">
        <v>4.48</v>
      </c>
      <c r="F6" s="50">
        <v>4.242</v>
      </c>
      <c r="G6" s="50">
        <v>4.942</v>
      </c>
      <c r="H6" s="50">
        <v>4.522</v>
      </c>
      <c r="I6" s="54">
        <v>4.734</v>
      </c>
      <c r="J6" s="54">
        <v>4.698</v>
      </c>
      <c r="K6" s="54">
        <v>5.241</v>
      </c>
      <c r="L6" s="50">
        <v>5.216</v>
      </c>
      <c r="M6" s="51">
        <v>5.891</v>
      </c>
      <c r="N6" s="6">
        <f t="shared" si="0"/>
        <v>58.91</v>
      </c>
    </row>
    <row r="7" customFormat="1" ht="17" customHeight="1" spans="1:14">
      <c r="A7" s="46">
        <v>5</v>
      </c>
      <c r="B7" s="48">
        <v>5.573</v>
      </c>
      <c r="C7" s="47">
        <v>6.04</v>
      </c>
      <c r="D7" s="47">
        <v>6.021</v>
      </c>
      <c r="E7" s="48">
        <v>6.384</v>
      </c>
      <c r="F7" s="48">
        <v>6.515</v>
      </c>
      <c r="G7" s="48">
        <v>7.686</v>
      </c>
      <c r="H7" s="48">
        <v>6.428</v>
      </c>
      <c r="I7" s="53">
        <v>7.512</v>
      </c>
      <c r="J7" s="53">
        <v>7.865</v>
      </c>
      <c r="K7" s="53">
        <v>7.794</v>
      </c>
      <c r="L7" s="48">
        <v>7.233</v>
      </c>
      <c r="M7" s="52">
        <v>7.601</v>
      </c>
      <c r="N7" s="6">
        <f t="shared" si="0"/>
        <v>78.65</v>
      </c>
    </row>
    <row r="8" customFormat="1" ht="17" customHeight="1" spans="1:14">
      <c r="A8" s="46">
        <v>6</v>
      </c>
      <c r="B8" s="51">
        <v>7.049</v>
      </c>
      <c r="C8" s="49">
        <v>7.382</v>
      </c>
      <c r="D8" s="49">
        <v>7.421</v>
      </c>
      <c r="E8" s="50">
        <v>7.31</v>
      </c>
      <c r="F8" s="50">
        <v>6.851</v>
      </c>
      <c r="G8" s="50">
        <v>7.283</v>
      </c>
      <c r="H8" s="50">
        <v>6.923</v>
      </c>
      <c r="I8" s="54">
        <v>7.815</v>
      </c>
      <c r="J8" s="54">
        <v>7.893</v>
      </c>
      <c r="K8" s="54">
        <v>8.127</v>
      </c>
      <c r="L8" s="50">
        <v>7.383</v>
      </c>
      <c r="M8" s="51">
        <v>7.856</v>
      </c>
      <c r="N8" s="6">
        <f t="shared" si="0"/>
        <v>81.27</v>
      </c>
    </row>
    <row r="9" customFormat="1" ht="17" customHeight="1" spans="1:14">
      <c r="A9" s="46">
        <v>7</v>
      </c>
      <c r="B9" s="48">
        <v>7.425</v>
      </c>
      <c r="C9" s="47">
        <v>7.433</v>
      </c>
      <c r="D9" s="47">
        <v>7.391</v>
      </c>
      <c r="E9" s="48">
        <v>7.62</v>
      </c>
      <c r="F9" s="48">
        <v>7.275</v>
      </c>
      <c r="G9" s="48">
        <v>8.119</v>
      </c>
      <c r="H9" s="48">
        <v>7.736</v>
      </c>
      <c r="I9" s="53">
        <v>8.098</v>
      </c>
      <c r="J9" s="53">
        <v>8.281</v>
      </c>
      <c r="K9" s="53">
        <v>7.964</v>
      </c>
      <c r="L9" s="48">
        <v>7.491</v>
      </c>
      <c r="M9" s="52">
        <v>7.743</v>
      </c>
      <c r="N9" s="6">
        <f t="shared" si="0"/>
        <v>82.81</v>
      </c>
    </row>
    <row r="10" customFormat="1" ht="17" customHeight="1" spans="1:14">
      <c r="A10" s="46">
        <v>8</v>
      </c>
      <c r="B10" s="51">
        <v>7.323</v>
      </c>
      <c r="C10" s="50">
        <v>7.421</v>
      </c>
      <c r="D10" s="49">
        <v>7.432</v>
      </c>
      <c r="E10" s="50">
        <v>7.335</v>
      </c>
      <c r="F10" s="50">
        <v>7.231</v>
      </c>
      <c r="G10" s="50">
        <v>8.158</v>
      </c>
      <c r="H10" s="50">
        <v>7.722</v>
      </c>
      <c r="I10" s="54">
        <v>8.288</v>
      </c>
      <c r="J10" s="54">
        <v>8.457</v>
      </c>
      <c r="K10" s="54">
        <v>8.351</v>
      </c>
      <c r="L10" s="50">
        <v>7.628</v>
      </c>
      <c r="M10" s="51">
        <v>7.974</v>
      </c>
      <c r="N10" s="6">
        <f t="shared" si="0"/>
        <v>84.57</v>
      </c>
    </row>
    <row r="11" customFormat="1" ht="17" customHeight="1" spans="1:14">
      <c r="A11" s="46">
        <v>9</v>
      </c>
      <c r="B11" s="47">
        <v>7.665</v>
      </c>
      <c r="C11" s="47">
        <v>7.441</v>
      </c>
      <c r="D11" s="47">
        <v>7.438</v>
      </c>
      <c r="E11" s="47">
        <v>7.646</v>
      </c>
      <c r="F11" s="48">
        <v>7.213</v>
      </c>
      <c r="G11" s="48">
        <v>7.388</v>
      </c>
      <c r="H11" s="48">
        <v>7.007</v>
      </c>
      <c r="I11" s="53">
        <v>7.404</v>
      </c>
      <c r="J11" s="53">
        <v>7.638</v>
      </c>
      <c r="K11" s="53">
        <v>8.145</v>
      </c>
      <c r="L11" s="48">
        <v>7.482</v>
      </c>
      <c r="M11" s="52">
        <v>7.988</v>
      </c>
      <c r="N11" s="6">
        <f t="shared" si="0"/>
        <v>81.45</v>
      </c>
    </row>
    <row r="12" customFormat="1" ht="17" customHeight="1" spans="1:14">
      <c r="A12" s="46">
        <v>10</v>
      </c>
      <c r="B12" s="51">
        <v>7.443</v>
      </c>
      <c r="C12" s="49">
        <v>7.451</v>
      </c>
      <c r="D12" s="49">
        <v>7.449</v>
      </c>
      <c r="E12" s="50">
        <v>7.475</v>
      </c>
      <c r="F12" s="50">
        <v>7.004</v>
      </c>
      <c r="G12" s="50">
        <v>7.147</v>
      </c>
      <c r="H12" s="50">
        <v>6.658</v>
      </c>
      <c r="I12" s="54">
        <v>6.895</v>
      </c>
      <c r="J12" s="54">
        <v>7.597</v>
      </c>
      <c r="K12" s="54">
        <v>7.6</v>
      </c>
      <c r="L12" s="50">
        <v>6.892</v>
      </c>
      <c r="M12" s="51">
        <v>7.268</v>
      </c>
      <c r="N12" s="6">
        <f t="shared" si="0"/>
        <v>76</v>
      </c>
    </row>
    <row r="13" customFormat="1" ht="17" customHeight="1" spans="1:14">
      <c r="A13" s="46">
        <v>11</v>
      </c>
      <c r="B13" s="52">
        <v>6.823</v>
      </c>
      <c r="C13" s="47">
        <v>7.111</v>
      </c>
      <c r="D13" s="47">
        <v>7.072</v>
      </c>
      <c r="E13" s="48">
        <v>6.967</v>
      </c>
      <c r="F13" s="48">
        <v>6.077</v>
      </c>
      <c r="G13" s="48">
        <v>5.963</v>
      </c>
      <c r="H13" s="48">
        <v>5.571</v>
      </c>
      <c r="I13" s="53">
        <v>5.921</v>
      </c>
      <c r="J13" s="53">
        <v>6.111</v>
      </c>
      <c r="K13" s="53">
        <v>6.587</v>
      </c>
      <c r="L13" s="48">
        <v>6.352</v>
      </c>
      <c r="M13" s="52">
        <v>6.624</v>
      </c>
      <c r="N13" s="6">
        <f t="shared" si="0"/>
        <v>71.11</v>
      </c>
    </row>
    <row r="14" customFormat="1" ht="17" customHeight="1" spans="1:14">
      <c r="A14" s="46">
        <v>12</v>
      </c>
      <c r="B14" s="51">
        <v>6.394</v>
      </c>
      <c r="C14" s="49">
        <v>6.158</v>
      </c>
      <c r="D14" s="49">
        <v>6.212</v>
      </c>
      <c r="E14" s="50">
        <v>6.799</v>
      </c>
      <c r="F14" s="50">
        <v>6.624</v>
      </c>
      <c r="G14" s="50">
        <v>7.218</v>
      </c>
      <c r="H14" s="50">
        <v>6.995</v>
      </c>
      <c r="I14" s="54">
        <v>7.351</v>
      </c>
      <c r="J14" s="54">
        <v>7.649</v>
      </c>
      <c r="K14" s="54">
        <v>8.129</v>
      </c>
      <c r="L14" s="50">
        <v>7.543</v>
      </c>
      <c r="M14" s="51">
        <v>7.961</v>
      </c>
      <c r="N14" s="6">
        <f t="shared" ref="N14:N33" si="1">MAX(B14:M14)*10</f>
        <v>81.29</v>
      </c>
    </row>
    <row r="15" customFormat="1" ht="17" customHeight="1" spans="1:14">
      <c r="A15" s="46">
        <v>13</v>
      </c>
      <c r="B15" s="48">
        <v>7.149</v>
      </c>
      <c r="C15" s="47">
        <v>7.8</v>
      </c>
      <c r="D15" s="47">
        <v>7.693</v>
      </c>
      <c r="E15" s="48">
        <v>7.634</v>
      </c>
      <c r="F15" s="48">
        <v>6.799</v>
      </c>
      <c r="G15" s="48">
        <v>7.582</v>
      </c>
      <c r="H15" s="48">
        <v>7.165</v>
      </c>
      <c r="I15" s="53">
        <v>7.561</v>
      </c>
      <c r="J15" s="53">
        <v>7.922</v>
      </c>
      <c r="K15" s="53">
        <v>8.462</v>
      </c>
      <c r="L15" s="48">
        <v>7.739</v>
      </c>
      <c r="M15" s="52">
        <v>8.125</v>
      </c>
      <c r="N15" s="6">
        <f t="shared" si="1"/>
        <v>84.62</v>
      </c>
    </row>
    <row r="16" customFormat="1" ht="17" customHeight="1" spans="1:14">
      <c r="A16" s="46">
        <v>14</v>
      </c>
      <c r="B16" s="51">
        <v>7.748</v>
      </c>
      <c r="C16" s="49">
        <v>7.882</v>
      </c>
      <c r="D16" s="49">
        <v>7.971</v>
      </c>
      <c r="E16" s="50">
        <v>7.726</v>
      </c>
      <c r="F16" s="50">
        <v>7.487</v>
      </c>
      <c r="G16" s="50">
        <v>7.979</v>
      </c>
      <c r="H16" s="50">
        <v>7.345</v>
      </c>
      <c r="I16" s="54">
        <v>7.983</v>
      </c>
      <c r="J16" s="54">
        <v>8.698</v>
      </c>
      <c r="K16" s="54">
        <v>8.807</v>
      </c>
      <c r="L16" s="50">
        <v>8.027</v>
      </c>
      <c r="M16" s="51">
        <v>8.571</v>
      </c>
      <c r="N16" s="6">
        <f t="shared" si="1"/>
        <v>88.07</v>
      </c>
    </row>
    <row r="17" customFormat="1" ht="17" customHeight="1" spans="1:14">
      <c r="A17" s="46">
        <v>15</v>
      </c>
      <c r="B17" s="52">
        <v>7.961</v>
      </c>
      <c r="C17" s="47">
        <v>8.221</v>
      </c>
      <c r="D17" s="47">
        <v>8.372</v>
      </c>
      <c r="E17" s="48">
        <v>8.266</v>
      </c>
      <c r="F17" s="48">
        <v>8.111</v>
      </c>
      <c r="G17" s="48">
        <v>8.712</v>
      </c>
      <c r="H17" s="48">
        <v>7.833</v>
      </c>
      <c r="I17" s="53">
        <v>8.783</v>
      </c>
      <c r="J17" s="53">
        <v>8.736</v>
      </c>
      <c r="K17" s="53">
        <v>8.962</v>
      </c>
      <c r="L17" s="48">
        <v>8.019</v>
      </c>
      <c r="M17" s="52">
        <v>8.49</v>
      </c>
      <c r="N17" s="6">
        <f t="shared" si="1"/>
        <v>89.62</v>
      </c>
    </row>
    <row r="18" customFormat="1" ht="17" customHeight="1" spans="1:14">
      <c r="A18" s="46">
        <v>16</v>
      </c>
      <c r="B18" s="51">
        <v>7.896</v>
      </c>
      <c r="C18" s="49">
        <v>8.381</v>
      </c>
      <c r="D18" s="49">
        <v>8.379</v>
      </c>
      <c r="E18" s="49">
        <v>8.135</v>
      </c>
      <c r="F18" s="50">
        <v>7.896</v>
      </c>
      <c r="G18" s="50">
        <v>8.265</v>
      </c>
      <c r="H18" s="50">
        <v>7.934</v>
      </c>
      <c r="I18" s="54">
        <v>8.252</v>
      </c>
      <c r="J18" s="54">
        <v>8.677</v>
      </c>
      <c r="K18" s="54">
        <v>8.706</v>
      </c>
      <c r="L18" s="50">
        <v>7.905</v>
      </c>
      <c r="M18" s="51">
        <v>8.371</v>
      </c>
      <c r="N18" s="6">
        <f t="shared" si="1"/>
        <v>87.06</v>
      </c>
    </row>
    <row r="19" customFormat="1" ht="17" customHeight="1" spans="1:14">
      <c r="A19" s="46">
        <v>17</v>
      </c>
      <c r="B19" s="52">
        <v>7.964</v>
      </c>
      <c r="C19" s="47">
        <v>8.293</v>
      </c>
      <c r="D19" s="47">
        <v>8.186</v>
      </c>
      <c r="E19" s="48">
        <v>8.105</v>
      </c>
      <c r="F19" s="48">
        <v>7.169</v>
      </c>
      <c r="G19" s="48">
        <v>7.877</v>
      </c>
      <c r="H19" s="48">
        <v>7.144</v>
      </c>
      <c r="I19" s="53">
        <v>7.485</v>
      </c>
      <c r="J19" s="53">
        <v>7.883</v>
      </c>
      <c r="K19" s="53">
        <v>7.956</v>
      </c>
      <c r="L19" s="48">
        <v>7.196</v>
      </c>
      <c r="M19" s="52">
        <v>7.611</v>
      </c>
      <c r="N19" s="6">
        <f t="shared" si="1"/>
        <v>82.93</v>
      </c>
    </row>
    <row r="20" customFormat="1" ht="17" customHeight="1" spans="1:14">
      <c r="A20" s="46">
        <v>18</v>
      </c>
      <c r="B20" s="51">
        <v>7.049</v>
      </c>
      <c r="C20" s="49">
        <v>7.112</v>
      </c>
      <c r="D20" s="49">
        <v>7.056</v>
      </c>
      <c r="E20" s="49">
        <v>7.066</v>
      </c>
      <c r="F20" s="50">
        <v>6.664</v>
      </c>
      <c r="G20" s="50">
        <v>7.153</v>
      </c>
      <c r="H20" s="50">
        <v>6.762</v>
      </c>
      <c r="I20" s="54">
        <v>6.855</v>
      </c>
      <c r="J20" s="54">
        <v>7.211</v>
      </c>
      <c r="K20" s="54">
        <v>7.474</v>
      </c>
      <c r="L20" s="50">
        <v>7.193</v>
      </c>
      <c r="M20" s="51">
        <v>7.782</v>
      </c>
      <c r="N20" s="6">
        <f t="shared" si="1"/>
        <v>77.82</v>
      </c>
    </row>
    <row r="21" customFormat="1" ht="17" customHeight="1" spans="1:14">
      <c r="A21" s="46">
        <v>19</v>
      </c>
      <c r="B21" s="52">
        <v>7.423</v>
      </c>
      <c r="C21" s="47">
        <v>7.955</v>
      </c>
      <c r="D21" s="47">
        <v>7.986</v>
      </c>
      <c r="E21" s="48">
        <v>7.678</v>
      </c>
      <c r="F21" s="48">
        <v>7.537</v>
      </c>
      <c r="G21" s="48">
        <v>8.551</v>
      </c>
      <c r="H21" s="48">
        <v>8.404</v>
      </c>
      <c r="I21" s="53">
        <v>8.731</v>
      </c>
      <c r="J21" s="53">
        <v>9.297</v>
      </c>
      <c r="K21" s="53">
        <v>9.368</v>
      </c>
      <c r="L21" s="48">
        <v>8.607</v>
      </c>
      <c r="M21" s="52">
        <v>9.291</v>
      </c>
      <c r="N21" s="6">
        <f t="shared" si="1"/>
        <v>93.68</v>
      </c>
    </row>
    <row r="22" customFormat="1" ht="17" customHeight="1" spans="1:14">
      <c r="A22" s="46">
        <v>20</v>
      </c>
      <c r="B22" s="51">
        <v>8.658</v>
      </c>
      <c r="C22" s="49">
        <v>8.934</v>
      </c>
      <c r="D22" s="49">
        <v>8.754</v>
      </c>
      <c r="E22" s="50">
        <v>8.789</v>
      </c>
      <c r="F22" s="50">
        <v>8.64</v>
      </c>
      <c r="G22" s="50">
        <v>9.057</v>
      </c>
      <c r="H22" s="50">
        <v>8.746</v>
      </c>
      <c r="I22" s="54">
        <v>9.249</v>
      </c>
      <c r="J22" s="54">
        <v>9.869</v>
      </c>
      <c r="K22" s="54">
        <v>9.501</v>
      </c>
      <c r="L22" s="50">
        <v>8.713</v>
      </c>
      <c r="M22" s="51">
        <v>9.033</v>
      </c>
      <c r="N22" s="6">
        <f t="shared" si="1"/>
        <v>98.69</v>
      </c>
    </row>
    <row r="23" customFormat="1" ht="17" customHeight="1" spans="1:14">
      <c r="A23" s="46">
        <v>21</v>
      </c>
      <c r="B23" s="52">
        <v>8.583</v>
      </c>
      <c r="C23" s="47">
        <v>8.861</v>
      </c>
      <c r="D23" s="47">
        <v>8.784</v>
      </c>
      <c r="E23" s="48">
        <v>8.735</v>
      </c>
      <c r="F23" s="48">
        <v>8.381</v>
      </c>
      <c r="G23" s="48">
        <v>9.226</v>
      </c>
      <c r="H23" s="48">
        <v>8.954</v>
      </c>
      <c r="I23" s="53">
        <v>8.823</v>
      </c>
      <c r="J23" s="53">
        <v>9.407</v>
      </c>
      <c r="K23" s="53">
        <v>9.772</v>
      </c>
      <c r="L23" s="48">
        <v>9.338</v>
      </c>
      <c r="M23" s="52">
        <v>9.353</v>
      </c>
      <c r="N23" s="6">
        <f t="shared" si="1"/>
        <v>97.72</v>
      </c>
    </row>
    <row r="24" customFormat="1" ht="17" customHeight="1" spans="1:14">
      <c r="A24" s="46">
        <v>22</v>
      </c>
      <c r="B24" s="51">
        <v>8.94</v>
      </c>
      <c r="C24" s="49">
        <v>9.184</v>
      </c>
      <c r="D24" s="49">
        <v>9.418</v>
      </c>
      <c r="E24" s="50">
        <v>9.047</v>
      </c>
      <c r="F24" s="50">
        <v>8.722</v>
      </c>
      <c r="G24" s="50">
        <v>9.762</v>
      </c>
      <c r="H24" s="50">
        <v>9.152</v>
      </c>
      <c r="I24" s="54">
        <v>9.653</v>
      </c>
      <c r="J24" s="54">
        <v>9.879</v>
      </c>
      <c r="K24" s="54">
        <v>9.847</v>
      </c>
      <c r="L24" s="50">
        <v>8.712</v>
      </c>
      <c r="M24" s="51">
        <v>8.92</v>
      </c>
      <c r="N24" s="6">
        <f t="shared" si="1"/>
        <v>98.79</v>
      </c>
    </row>
    <row r="25" customFormat="1" ht="17" customHeight="1" spans="1:14">
      <c r="A25" s="46">
        <v>23</v>
      </c>
      <c r="B25" s="52">
        <v>8.491</v>
      </c>
      <c r="C25" s="47">
        <v>8.755</v>
      </c>
      <c r="D25" s="47">
        <v>8.698</v>
      </c>
      <c r="E25" s="48">
        <v>8.377</v>
      </c>
      <c r="F25" s="48">
        <v>8.129</v>
      </c>
      <c r="G25" s="48">
        <v>8.769</v>
      </c>
      <c r="H25" s="48">
        <v>7.771</v>
      </c>
      <c r="I25" s="53">
        <v>8.185</v>
      </c>
      <c r="J25" s="53">
        <v>8.496</v>
      </c>
      <c r="K25" s="53">
        <v>8.823</v>
      </c>
      <c r="L25" s="48">
        <v>8.259</v>
      </c>
      <c r="M25" s="52">
        <v>8.406</v>
      </c>
      <c r="N25" s="6">
        <f t="shared" si="1"/>
        <v>88.23</v>
      </c>
    </row>
    <row r="26" customFormat="1" ht="17" customHeight="1" spans="1:14">
      <c r="A26" s="46">
        <v>24</v>
      </c>
      <c r="B26" s="51">
        <v>7.896</v>
      </c>
      <c r="C26" s="49">
        <v>8.124</v>
      </c>
      <c r="D26" s="49">
        <v>8.319</v>
      </c>
      <c r="E26" s="49">
        <v>7.931</v>
      </c>
      <c r="F26" s="50">
        <v>7.18</v>
      </c>
      <c r="G26" s="50">
        <v>7.811</v>
      </c>
      <c r="H26" s="50">
        <v>7.025</v>
      </c>
      <c r="I26" s="54">
        <v>7.991</v>
      </c>
      <c r="J26" s="54">
        <v>8.202</v>
      </c>
      <c r="K26" s="54">
        <v>8.354</v>
      </c>
      <c r="L26" s="50">
        <v>7.525</v>
      </c>
      <c r="M26" s="51">
        <v>7.84</v>
      </c>
      <c r="N26" s="6">
        <f t="shared" si="1"/>
        <v>83.54</v>
      </c>
    </row>
    <row r="27" customFormat="1" ht="17" customHeight="1" spans="1:14">
      <c r="A27" s="46">
        <v>25</v>
      </c>
      <c r="B27" s="52">
        <v>7.481</v>
      </c>
      <c r="C27" s="47">
        <v>7.088</v>
      </c>
      <c r="D27" s="47">
        <v>7.121</v>
      </c>
      <c r="E27" s="48">
        <v>7.36</v>
      </c>
      <c r="F27" s="48">
        <v>6.684</v>
      </c>
      <c r="G27" s="48">
        <v>7.204</v>
      </c>
      <c r="H27" s="48">
        <v>6.195</v>
      </c>
      <c r="I27" s="53">
        <v>6.845</v>
      </c>
      <c r="J27" s="53">
        <v>7.176</v>
      </c>
      <c r="K27" s="53">
        <v>7.135</v>
      </c>
      <c r="L27" s="48">
        <v>6.744</v>
      </c>
      <c r="M27" s="52">
        <v>7.309</v>
      </c>
      <c r="N27" s="6">
        <f t="shared" si="1"/>
        <v>74.81</v>
      </c>
    </row>
    <row r="28" customFormat="1" ht="17" customHeight="1" spans="1:14">
      <c r="A28" s="46">
        <v>26</v>
      </c>
      <c r="B28" s="51">
        <v>6.889</v>
      </c>
      <c r="C28" s="49">
        <v>7.439</v>
      </c>
      <c r="D28" s="49">
        <v>7.369</v>
      </c>
      <c r="E28" s="50">
        <v>7.536</v>
      </c>
      <c r="F28" s="50">
        <v>7.029</v>
      </c>
      <c r="G28" s="50">
        <v>7.831</v>
      </c>
      <c r="H28" s="50">
        <v>7.216</v>
      </c>
      <c r="I28" s="54">
        <v>7.713</v>
      </c>
      <c r="J28" s="54">
        <v>7.985</v>
      </c>
      <c r="K28" s="54">
        <v>8.474</v>
      </c>
      <c r="L28" s="50">
        <v>7.884</v>
      </c>
      <c r="M28" s="51">
        <v>8.294</v>
      </c>
      <c r="N28" s="6">
        <f t="shared" si="1"/>
        <v>84.74</v>
      </c>
    </row>
    <row r="29" customFormat="1" ht="17" customHeight="1" spans="1:14">
      <c r="A29" s="46">
        <v>27</v>
      </c>
      <c r="B29" s="48">
        <v>7.759</v>
      </c>
      <c r="C29" s="47">
        <v>8.155</v>
      </c>
      <c r="D29" s="47">
        <v>8.252</v>
      </c>
      <c r="E29" s="48">
        <v>7.89</v>
      </c>
      <c r="F29" s="48">
        <v>7.273</v>
      </c>
      <c r="G29" s="48">
        <v>8.451</v>
      </c>
      <c r="H29" s="48">
        <v>7.995</v>
      </c>
      <c r="I29" s="53">
        <v>8.491</v>
      </c>
      <c r="J29" s="53">
        <v>8.729</v>
      </c>
      <c r="K29" s="53">
        <v>8.851</v>
      </c>
      <c r="L29" s="48">
        <v>8.106</v>
      </c>
      <c r="M29" s="52">
        <v>8.679</v>
      </c>
      <c r="N29" s="6">
        <f t="shared" si="1"/>
        <v>88.51</v>
      </c>
    </row>
    <row r="30" customFormat="1" ht="17" customHeight="1" spans="1:14">
      <c r="A30" s="46">
        <v>28</v>
      </c>
      <c r="B30" s="51">
        <v>7.988</v>
      </c>
      <c r="C30" s="49">
        <v>8.382</v>
      </c>
      <c r="D30" s="49">
        <v>8.314</v>
      </c>
      <c r="E30" s="50">
        <v>8.237</v>
      </c>
      <c r="F30" s="50">
        <v>7.663</v>
      </c>
      <c r="G30" s="50">
        <v>8.783</v>
      </c>
      <c r="H30" s="50">
        <v>8.266</v>
      </c>
      <c r="I30" s="54">
        <v>8.723</v>
      </c>
      <c r="J30" s="54">
        <v>8.831</v>
      </c>
      <c r="K30" s="54">
        <v>8.718</v>
      </c>
      <c r="L30" s="50">
        <v>8.056</v>
      </c>
      <c r="M30" s="51">
        <v>8.505</v>
      </c>
      <c r="N30" s="6">
        <f t="shared" si="1"/>
        <v>88.31</v>
      </c>
    </row>
    <row r="31" customFormat="1" ht="17" customHeight="1" spans="1:14">
      <c r="A31" s="46">
        <v>29</v>
      </c>
      <c r="B31" s="52">
        <v>8.017</v>
      </c>
      <c r="C31" s="47">
        <v>8.411</v>
      </c>
      <c r="D31" s="47">
        <v>8.249</v>
      </c>
      <c r="E31" s="47">
        <v>7.963</v>
      </c>
      <c r="F31" s="48">
        <v>7.232</v>
      </c>
      <c r="G31" s="48">
        <v>7.927</v>
      </c>
      <c r="H31" s="48">
        <v>7.584</v>
      </c>
      <c r="I31" s="53">
        <v>8.48</v>
      </c>
      <c r="J31" s="53">
        <v>8.338</v>
      </c>
      <c r="K31" s="53">
        <v>8.436</v>
      </c>
      <c r="L31" s="48">
        <v>7.858</v>
      </c>
      <c r="M31" s="52">
        <v>8.358</v>
      </c>
      <c r="N31" s="6">
        <f t="shared" si="1"/>
        <v>84.8</v>
      </c>
    </row>
    <row r="32" customFormat="1" ht="17" customHeight="1" spans="1:14">
      <c r="A32" s="46">
        <v>30</v>
      </c>
      <c r="B32" s="51">
        <v>7.791</v>
      </c>
      <c r="C32" s="49">
        <v>8.311</v>
      </c>
      <c r="D32" s="49">
        <v>8.176</v>
      </c>
      <c r="E32" s="49">
        <v>7.417</v>
      </c>
      <c r="F32" s="50">
        <v>6.428</v>
      </c>
      <c r="G32" s="50">
        <v>7.121</v>
      </c>
      <c r="H32" s="50">
        <v>6.248</v>
      </c>
      <c r="I32" s="54">
        <v>6.917</v>
      </c>
      <c r="J32" s="54">
        <v>6.879</v>
      </c>
      <c r="K32" s="54">
        <v>5.471</v>
      </c>
      <c r="L32" s="50">
        <v>3.87</v>
      </c>
      <c r="M32" s="51">
        <v>3.117</v>
      </c>
      <c r="N32" s="6">
        <f t="shared" si="1"/>
        <v>83.11</v>
      </c>
    </row>
    <row r="33" ht="16.5" spans="1:14">
      <c r="A33" s="46">
        <v>31</v>
      </c>
      <c r="B33" s="52">
        <v>2.603</v>
      </c>
      <c r="C33" s="47">
        <v>2.57</v>
      </c>
      <c r="D33" s="47">
        <v>2.579</v>
      </c>
      <c r="E33" s="47">
        <v>2.483</v>
      </c>
      <c r="F33" s="48">
        <v>2.265</v>
      </c>
      <c r="G33" s="48">
        <v>2.254</v>
      </c>
      <c r="H33" s="48">
        <v>2.043</v>
      </c>
      <c r="I33" s="53">
        <v>1.414</v>
      </c>
      <c r="J33" s="53">
        <v>2.334</v>
      </c>
      <c r="K33" s="53">
        <v>2.323</v>
      </c>
      <c r="L33" s="48">
        <v>2.35</v>
      </c>
      <c r="M33" s="52">
        <v>2.445</v>
      </c>
      <c r="N33" s="6">
        <f t="shared" si="1"/>
        <v>26.03</v>
      </c>
    </row>
  </sheetData>
  <mergeCells count="1">
    <mergeCell ref="A1:M1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"/>
  <sheetViews>
    <sheetView workbookViewId="0">
      <selection activeCell="P3" sqref="P3"/>
    </sheetView>
  </sheetViews>
  <sheetFormatPr defaultColWidth="9" defaultRowHeight="13.5"/>
  <cols>
    <col min="1" max="6" width="9" style="4"/>
    <col min="7" max="7" width="9.25" style="4"/>
    <col min="8" max="16384" width="9" style="4"/>
  </cols>
  <sheetData>
    <row r="1" ht="26" customHeight="1" spans="1:13">
      <c r="A1" s="42" t="s">
        <v>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ht="24" customHeight="1" spans="1:14">
      <c r="A2" s="44" t="s">
        <v>2</v>
      </c>
      <c r="B2" s="45">
        <v>0</v>
      </c>
      <c r="C2" s="45">
        <v>0.0833333333333333</v>
      </c>
      <c r="D2" s="45">
        <v>0.166666666666667</v>
      </c>
      <c r="E2" s="45">
        <v>0.25</v>
      </c>
      <c r="F2" s="45">
        <v>0.333333333333333</v>
      </c>
      <c r="G2" s="45">
        <v>0.416666666666667</v>
      </c>
      <c r="H2" s="45">
        <v>0.5</v>
      </c>
      <c r="I2" s="45">
        <v>0.583333333333333</v>
      </c>
      <c r="J2" s="45">
        <v>0.666666666666667</v>
      </c>
      <c r="K2" s="45">
        <v>0.75</v>
      </c>
      <c r="L2" s="45">
        <v>0.833333333333333</v>
      </c>
      <c r="M2" s="45">
        <v>0.916666666666667</v>
      </c>
      <c r="N2" s="6" t="s">
        <v>3</v>
      </c>
    </row>
    <row r="3" ht="17" customHeight="1" spans="1:14">
      <c r="A3" s="46">
        <v>1</v>
      </c>
      <c r="B3" s="47">
        <v>2.764</v>
      </c>
      <c r="C3" s="47">
        <v>2.909</v>
      </c>
      <c r="D3" s="47">
        <v>3.034</v>
      </c>
      <c r="E3" s="48">
        <v>3.13</v>
      </c>
      <c r="F3" s="48">
        <v>3.876</v>
      </c>
      <c r="G3" s="48">
        <v>4.645</v>
      </c>
      <c r="H3" s="48">
        <v>4.589</v>
      </c>
      <c r="I3" s="53">
        <v>4.774</v>
      </c>
      <c r="J3" s="53">
        <v>4.935</v>
      </c>
      <c r="K3" s="53">
        <v>5.043</v>
      </c>
      <c r="L3" s="48">
        <v>4.833</v>
      </c>
      <c r="M3" s="48">
        <v>5.813</v>
      </c>
      <c r="N3" s="6">
        <f>MAX(B3:M3)*10</f>
        <v>58.13</v>
      </c>
    </row>
    <row r="4" ht="17" customHeight="1" spans="1:14">
      <c r="A4" s="46">
        <v>2</v>
      </c>
      <c r="B4" s="49">
        <v>5.352</v>
      </c>
      <c r="C4" s="49">
        <v>5.638</v>
      </c>
      <c r="D4" s="49">
        <v>5.871</v>
      </c>
      <c r="E4" s="50">
        <v>5.849</v>
      </c>
      <c r="F4" s="50">
        <v>6.331</v>
      </c>
      <c r="G4" s="50">
        <v>7.786</v>
      </c>
      <c r="H4" s="50">
        <v>6.759</v>
      </c>
      <c r="I4" s="54">
        <v>7.662</v>
      </c>
      <c r="J4" s="54">
        <v>7.781</v>
      </c>
      <c r="K4" s="54">
        <v>7.75</v>
      </c>
      <c r="L4" s="50">
        <v>7.106</v>
      </c>
      <c r="M4" s="51">
        <v>7.799</v>
      </c>
      <c r="N4" s="6">
        <f t="shared" ref="N4:N32" si="0">MAX(B4:M4)*10</f>
        <v>77.99</v>
      </c>
    </row>
    <row r="5" ht="17" customHeight="1" spans="1:14">
      <c r="A5" s="46">
        <v>3</v>
      </c>
      <c r="B5" s="48">
        <v>7.343</v>
      </c>
      <c r="C5" s="47">
        <v>7.681</v>
      </c>
      <c r="D5" s="47">
        <v>7.874</v>
      </c>
      <c r="E5" s="48">
        <v>7.753</v>
      </c>
      <c r="F5" s="48">
        <v>7.074</v>
      </c>
      <c r="G5" s="48">
        <v>7.965</v>
      </c>
      <c r="H5" s="48">
        <v>7.512</v>
      </c>
      <c r="I5" s="53">
        <v>7.493</v>
      </c>
      <c r="J5" s="53">
        <v>8.131</v>
      </c>
      <c r="K5" s="53">
        <v>8.192</v>
      </c>
      <c r="L5" s="48">
        <v>8.01</v>
      </c>
      <c r="M5" s="52">
        <v>8.612</v>
      </c>
      <c r="N5" s="6">
        <f t="shared" si="0"/>
        <v>86.12</v>
      </c>
    </row>
    <row r="6" ht="17" customHeight="1" spans="1:14">
      <c r="A6" s="46">
        <v>4</v>
      </c>
      <c r="B6" s="50">
        <v>7.966</v>
      </c>
      <c r="C6" s="49">
        <v>8.238</v>
      </c>
      <c r="D6" s="49">
        <v>8.431</v>
      </c>
      <c r="E6" s="50">
        <v>8.134</v>
      </c>
      <c r="F6" s="50">
        <v>7.634</v>
      </c>
      <c r="G6" s="50">
        <v>7.823</v>
      </c>
      <c r="H6" s="50">
        <v>7.474</v>
      </c>
      <c r="I6" s="54">
        <v>7.956</v>
      </c>
      <c r="J6" s="54">
        <v>8.195</v>
      </c>
      <c r="K6" s="54">
        <v>8.44</v>
      </c>
      <c r="L6" s="50">
        <v>8.345</v>
      </c>
      <c r="M6" s="51">
        <v>8.867</v>
      </c>
      <c r="N6" s="6">
        <f t="shared" si="0"/>
        <v>88.67</v>
      </c>
    </row>
    <row r="7" ht="17" customHeight="1" spans="1:14">
      <c r="A7" s="46">
        <v>5</v>
      </c>
      <c r="B7" s="48">
        <v>8.409</v>
      </c>
      <c r="C7" s="47">
        <v>8.734</v>
      </c>
      <c r="D7" s="47">
        <v>8.711</v>
      </c>
      <c r="E7" s="48">
        <v>8.44</v>
      </c>
      <c r="F7" s="48">
        <v>7.96</v>
      </c>
      <c r="G7" s="48">
        <v>8.428</v>
      </c>
      <c r="H7" s="48">
        <v>7.718</v>
      </c>
      <c r="I7" s="53">
        <v>8.327</v>
      </c>
      <c r="J7" s="53">
        <v>8.717</v>
      </c>
      <c r="K7" s="53">
        <v>8.977</v>
      </c>
      <c r="L7" s="48">
        <v>8.752</v>
      </c>
      <c r="M7" s="52">
        <v>9.192</v>
      </c>
      <c r="N7" s="6">
        <f t="shared" si="0"/>
        <v>91.92</v>
      </c>
    </row>
    <row r="8" ht="17" customHeight="1" spans="1:14">
      <c r="A8" s="46">
        <v>6</v>
      </c>
      <c r="B8" s="51">
        <v>8.759</v>
      </c>
      <c r="C8" s="49">
        <v>9.079</v>
      </c>
      <c r="D8" s="49">
        <v>9.234</v>
      </c>
      <c r="E8" s="50">
        <v>8.736</v>
      </c>
      <c r="F8" s="50">
        <v>8.435</v>
      </c>
      <c r="G8" s="50">
        <v>8.64</v>
      </c>
      <c r="H8" s="50">
        <v>8.285</v>
      </c>
      <c r="I8" s="54">
        <v>8.762</v>
      </c>
      <c r="J8" s="54">
        <v>9.248</v>
      </c>
      <c r="K8" s="54">
        <v>9.8</v>
      </c>
      <c r="L8" s="50">
        <v>9.113</v>
      </c>
      <c r="M8" s="51">
        <v>9.402</v>
      </c>
      <c r="N8" s="6">
        <f t="shared" si="0"/>
        <v>98</v>
      </c>
    </row>
    <row r="9" ht="17" customHeight="1" spans="1:14">
      <c r="A9" s="46">
        <v>7</v>
      </c>
      <c r="B9" s="48">
        <v>9.197</v>
      </c>
      <c r="C9" s="47">
        <v>9.375</v>
      </c>
      <c r="D9" s="47">
        <v>9.479</v>
      </c>
      <c r="E9" s="48">
        <v>9.307</v>
      </c>
      <c r="F9" s="48">
        <v>8.742</v>
      </c>
      <c r="G9" s="48">
        <v>8.85</v>
      </c>
      <c r="H9" s="48">
        <v>8.17</v>
      </c>
      <c r="I9" s="53">
        <v>8.495</v>
      </c>
      <c r="J9" s="53">
        <v>8.954</v>
      </c>
      <c r="K9" s="53">
        <v>9.444</v>
      </c>
      <c r="L9" s="48">
        <v>8.56</v>
      </c>
      <c r="M9" s="52">
        <v>9.165</v>
      </c>
      <c r="N9" s="6">
        <f t="shared" si="0"/>
        <v>94.79</v>
      </c>
    </row>
    <row r="10" ht="17" customHeight="1" spans="1:14">
      <c r="A10" s="46">
        <v>8</v>
      </c>
      <c r="B10" s="51">
        <v>8.707</v>
      </c>
      <c r="C10" s="50">
        <v>8.835</v>
      </c>
      <c r="D10" s="49">
        <v>8.818</v>
      </c>
      <c r="E10" s="50">
        <v>8.108</v>
      </c>
      <c r="F10" s="50">
        <v>7.122</v>
      </c>
      <c r="G10" s="50">
        <v>7.416</v>
      </c>
      <c r="H10" s="50">
        <v>6.957</v>
      </c>
      <c r="I10" s="54">
        <v>7.304</v>
      </c>
      <c r="J10" s="54">
        <v>7.526</v>
      </c>
      <c r="K10" s="54">
        <v>7.17</v>
      </c>
      <c r="L10" s="50">
        <v>6.871</v>
      </c>
      <c r="M10" s="51">
        <v>7.357</v>
      </c>
      <c r="N10" s="6">
        <f t="shared" si="0"/>
        <v>88.35</v>
      </c>
    </row>
    <row r="11" ht="17" customHeight="1" spans="1:14">
      <c r="A11" s="46">
        <v>9</v>
      </c>
      <c r="B11" s="47">
        <v>7.001</v>
      </c>
      <c r="C11" s="47">
        <v>7.465</v>
      </c>
      <c r="D11" s="47">
        <v>7.581</v>
      </c>
      <c r="E11" s="47">
        <v>7.526</v>
      </c>
      <c r="F11" s="48">
        <v>7.673</v>
      </c>
      <c r="G11" s="48">
        <v>8.341</v>
      </c>
      <c r="H11" s="48">
        <v>8.052</v>
      </c>
      <c r="I11" s="53">
        <v>9.01</v>
      </c>
      <c r="J11" s="53">
        <v>9.145</v>
      </c>
      <c r="K11" s="53">
        <v>9.186</v>
      </c>
      <c r="L11" s="48">
        <v>8.661</v>
      </c>
      <c r="M11" s="52">
        <v>9.145</v>
      </c>
      <c r="N11" s="6">
        <f t="shared" si="0"/>
        <v>91.86</v>
      </c>
    </row>
    <row r="12" ht="17" customHeight="1" spans="1:14">
      <c r="A12" s="46">
        <v>10</v>
      </c>
      <c r="B12" s="51">
        <v>8.702</v>
      </c>
      <c r="C12" s="49">
        <v>8.909</v>
      </c>
      <c r="D12" s="49">
        <v>8.948</v>
      </c>
      <c r="E12" s="50">
        <v>8.891</v>
      </c>
      <c r="F12" s="50">
        <v>8.287</v>
      </c>
      <c r="G12" s="50">
        <v>9.048</v>
      </c>
      <c r="H12" s="50">
        <v>8.408</v>
      </c>
      <c r="I12" s="54">
        <v>8.392</v>
      </c>
      <c r="J12" s="54">
        <v>9.058</v>
      </c>
      <c r="K12" s="54">
        <v>9.107</v>
      </c>
      <c r="L12" s="50">
        <v>8.731</v>
      </c>
      <c r="M12" s="51">
        <v>9.166</v>
      </c>
      <c r="N12" s="6">
        <f t="shared" si="0"/>
        <v>91.66</v>
      </c>
    </row>
    <row r="13" ht="17" customHeight="1" spans="1:14">
      <c r="A13" s="46">
        <v>11</v>
      </c>
      <c r="B13" s="52">
        <v>8.608</v>
      </c>
      <c r="C13" s="47">
        <v>9.081</v>
      </c>
      <c r="D13" s="47">
        <v>8.985</v>
      </c>
      <c r="E13" s="48">
        <v>8.842</v>
      </c>
      <c r="F13" s="48">
        <v>8.509</v>
      </c>
      <c r="G13" s="48">
        <v>9.165</v>
      </c>
      <c r="H13" s="48">
        <v>8.694</v>
      </c>
      <c r="I13" s="53">
        <v>9.014</v>
      </c>
      <c r="J13" s="53">
        <v>9.144</v>
      </c>
      <c r="K13" s="53">
        <v>9.117</v>
      </c>
      <c r="L13" s="48">
        <v>8.681</v>
      </c>
      <c r="M13" s="52">
        <v>9.131</v>
      </c>
      <c r="N13" s="6">
        <f t="shared" si="0"/>
        <v>91.65</v>
      </c>
    </row>
    <row r="14" ht="17" customHeight="1" spans="1:14">
      <c r="A14" s="46">
        <v>12</v>
      </c>
      <c r="B14" s="51">
        <v>8.719</v>
      </c>
      <c r="C14" s="49">
        <v>8.864</v>
      </c>
      <c r="D14" s="49">
        <v>8.987</v>
      </c>
      <c r="E14" s="50">
        <v>8.779</v>
      </c>
      <c r="F14" s="50">
        <v>8.134</v>
      </c>
      <c r="G14" s="50">
        <v>9.178</v>
      </c>
      <c r="H14" s="50">
        <v>8.319</v>
      </c>
      <c r="I14" s="54">
        <v>8.837</v>
      </c>
      <c r="J14" s="54">
        <v>9.124</v>
      </c>
      <c r="K14" s="54">
        <v>9.232</v>
      </c>
      <c r="L14" s="50">
        <v>8.745</v>
      </c>
      <c r="M14" s="51">
        <v>9.118</v>
      </c>
      <c r="N14" s="6">
        <f t="shared" si="0"/>
        <v>92.32</v>
      </c>
    </row>
    <row r="15" ht="17" customHeight="1" spans="1:14">
      <c r="A15" s="46">
        <v>13</v>
      </c>
      <c r="B15" s="48">
        <v>8.737</v>
      </c>
      <c r="C15" s="47">
        <v>8.953</v>
      </c>
      <c r="D15" s="47">
        <v>9.068</v>
      </c>
      <c r="E15" s="48">
        <v>8.976</v>
      </c>
      <c r="F15" s="48">
        <v>8.286</v>
      </c>
      <c r="G15" s="48">
        <v>8.711</v>
      </c>
      <c r="H15" s="48">
        <v>8.381</v>
      </c>
      <c r="I15" s="53">
        <v>8.701</v>
      </c>
      <c r="J15" s="53">
        <v>9.137</v>
      </c>
      <c r="K15" s="53">
        <v>9.503</v>
      </c>
      <c r="L15" s="48">
        <v>8.976</v>
      </c>
      <c r="M15" s="52">
        <v>9.548</v>
      </c>
      <c r="N15" s="6">
        <f t="shared" si="0"/>
        <v>95.48</v>
      </c>
    </row>
    <row r="16" ht="17" customHeight="1" spans="1:14">
      <c r="A16" s="46">
        <v>14</v>
      </c>
      <c r="B16" s="51">
        <v>9.183</v>
      </c>
      <c r="C16" s="49">
        <v>9.297</v>
      </c>
      <c r="D16" s="49">
        <v>9.225</v>
      </c>
      <c r="E16" s="50">
        <v>8.739</v>
      </c>
      <c r="F16" s="50">
        <v>7.484</v>
      </c>
      <c r="G16" s="50">
        <v>8.013</v>
      </c>
      <c r="H16" s="50">
        <v>7.633</v>
      </c>
      <c r="I16" s="54">
        <v>8.072</v>
      </c>
      <c r="J16" s="54">
        <v>8.147</v>
      </c>
      <c r="K16" s="54">
        <v>8.602</v>
      </c>
      <c r="L16" s="50">
        <v>8.821</v>
      </c>
      <c r="M16" s="51">
        <v>8.546</v>
      </c>
      <c r="N16" s="6">
        <f t="shared" si="0"/>
        <v>92.97</v>
      </c>
    </row>
    <row r="17" ht="17" customHeight="1" spans="1:14">
      <c r="A17" s="46">
        <v>15</v>
      </c>
      <c r="B17" s="52">
        <v>7.793</v>
      </c>
      <c r="C17" s="47">
        <v>8.326</v>
      </c>
      <c r="D17" s="47">
        <v>8.208</v>
      </c>
      <c r="E17" s="48">
        <v>7.815</v>
      </c>
      <c r="F17" s="48">
        <v>7.046</v>
      </c>
      <c r="G17" s="48">
        <v>7.578</v>
      </c>
      <c r="H17" s="48">
        <v>6.605</v>
      </c>
      <c r="I17" s="53">
        <v>7.006</v>
      </c>
      <c r="J17" s="53">
        <v>6.622</v>
      </c>
      <c r="K17" s="53">
        <v>7.329</v>
      </c>
      <c r="L17" s="48">
        <v>7.122</v>
      </c>
      <c r="M17" s="52">
        <v>7.646</v>
      </c>
      <c r="N17" s="6">
        <f t="shared" si="0"/>
        <v>83.26</v>
      </c>
    </row>
    <row r="18" ht="17" customHeight="1" spans="1:14">
      <c r="A18" s="46">
        <v>16</v>
      </c>
      <c r="B18" s="51">
        <v>7.288</v>
      </c>
      <c r="C18" s="49">
        <v>7.548</v>
      </c>
      <c r="D18" s="49">
        <v>7.523</v>
      </c>
      <c r="E18" s="49">
        <v>7.537</v>
      </c>
      <c r="F18" s="50">
        <v>7.377</v>
      </c>
      <c r="G18" s="50">
        <v>8.328</v>
      </c>
      <c r="H18" s="50">
        <v>7.974</v>
      </c>
      <c r="I18" s="54">
        <v>8.496</v>
      </c>
      <c r="J18" s="54">
        <v>8.87</v>
      </c>
      <c r="K18" s="54">
        <v>9.312</v>
      </c>
      <c r="L18" s="50">
        <v>9.093</v>
      </c>
      <c r="M18" s="51">
        <v>9.492</v>
      </c>
      <c r="N18" s="6">
        <f t="shared" si="0"/>
        <v>94.92</v>
      </c>
    </row>
    <row r="19" ht="17" customHeight="1" spans="1:14">
      <c r="A19" s="46">
        <v>17</v>
      </c>
      <c r="B19" s="52">
        <v>9.1</v>
      </c>
      <c r="C19" s="47">
        <v>9.175</v>
      </c>
      <c r="D19" s="47">
        <v>9.239</v>
      </c>
      <c r="E19" s="48">
        <v>9.076</v>
      </c>
      <c r="F19" s="48">
        <v>8.112</v>
      </c>
      <c r="G19" s="48">
        <v>8.828</v>
      </c>
      <c r="H19" s="48">
        <v>8.96</v>
      </c>
      <c r="I19" s="53">
        <v>9.158</v>
      </c>
      <c r="J19" s="53">
        <v>9.295</v>
      </c>
      <c r="K19" s="53">
        <v>9.515</v>
      </c>
      <c r="L19" s="48">
        <v>9.177</v>
      </c>
      <c r="M19" s="52">
        <v>9.681</v>
      </c>
      <c r="N19" s="6">
        <f t="shared" si="0"/>
        <v>96.81</v>
      </c>
    </row>
    <row r="20" ht="17" customHeight="1" spans="1:14">
      <c r="A20" s="46">
        <v>18</v>
      </c>
      <c r="B20" s="51">
        <v>9.068</v>
      </c>
      <c r="C20" s="49">
        <v>9.178</v>
      </c>
      <c r="D20" s="49">
        <v>9.214</v>
      </c>
      <c r="E20" s="49">
        <v>8.986</v>
      </c>
      <c r="F20" s="50">
        <v>8.608</v>
      </c>
      <c r="G20" s="50">
        <v>9.263</v>
      </c>
      <c r="H20" s="50">
        <v>8.683</v>
      </c>
      <c r="I20" s="54">
        <v>9.381</v>
      </c>
      <c r="J20" s="54">
        <v>9.203</v>
      </c>
      <c r="K20" s="54">
        <v>9.554</v>
      </c>
      <c r="L20" s="50">
        <v>9.222</v>
      </c>
      <c r="M20" s="51">
        <v>9.463</v>
      </c>
      <c r="N20" s="6">
        <f t="shared" si="0"/>
        <v>95.54</v>
      </c>
    </row>
    <row r="21" ht="17" customHeight="1" spans="1:14">
      <c r="A21" s="46">
        <v>19</v>
      </c>
      <c r="B21" s="52">
        <v>9.067</v>
      </c>
      <c r="C21" s="47">
        <v>9.255</v>
      </c>
      <c r="D21" s="47">
        <v>9.311</v>
      </c>
      <c r="E21" s="48">
        <v>9.216</v>
      </c>
      <c r="F21" s="48">
        <v>8.925</v>
      </c>
      <c r="G21" s="48">
        <v>9.301</v>
      </c>
      <c r="H21" s="48">
        <v>8.89</v>
      </c>
      <c r="I21" s="53">
        <v>9.045</v>
      </c>
      <c r="J21" s="53">
        <v>9.553</v>
      </c>
      <c r="K21" s="53">
        <v>9.613</v>
      </c>
      <c r="L21" s="48">
        <v>9.197</v>
      </c>
      <c r="M21" s="52">
        <v>9.485</v>
      </c>
      <c r="N21" s="6">
        <f t="shared" si="0"/>
        <v>96.13</v>
      </c>
    </row>
    <row r="22" ht="17" customHeight="1" spans="1:14">
      <c r="A22" s="46">
        <v>20</v>
      </c>
      <c r="B22" s="51">
        <v>8.957</v>
      </c>
      <c r="C22" s="49">
        <v>9.258</v>
      </c>
      <c r="D22" s="49">
        <v>9.345</v>
      </c>
      <c r="E22" s="50">
        <v>9.381</v>
      </c>
      <c r="F22" s="50">
        <v>8.782</v>
      </c>
      <c r="G22" s="50">
        <v>9.258</v>
      </c>
      <c r="H22" s="50">
        <v>8.949</v>
      </c>
      <c r="I22" s="54">
        <v>9.308</v>
      </c>
      <c r="J22" s="54">
        <v>9.471</v>
      </c>
      <c r="K22" s="54">
        <v>9.484</v>
      </c>
      <c r="L22" s="50">
        <v>9.024</v>
      </c>
      <c r="M22" s="51">
        <v>9.308</v>
      </c>
      <c r="N22" s="6">
        <f t="shared" si="0"/>
        <v>94.84</v>
      </c>
    </row>
    <row r="23" ht="17" customHeight="1" spans="1:14">
      <c r="A23" s="46">
        <v>21</v>
      </c>
      <c r="B23" s="52">
        <v>8.802</v>
      </c>
      <c r="C23" s="47">
        <v>9.091</v>
      </c>
      <c r="D23" s="47">
        <v>9.217</v>
      </c>
      <c r="E23" s="48">
        <v>8.997</v>
      </c>
      <c r="F23" s="48">
        <v>8.113</v>
      </c>
      <c r="G23" s="48">
        <v>8.525</v>
      </c>
      <c r="H23" s="48">
        <v>8.392</v>
      </c>
      <c r="I23" s="53">
        <v>8.96</v>
      </c>
      <c r="J23" s="53">
        <v>9.05</v>
      </c>
      <c r="K23" s="53">
        <v>8.835</v>
      </c>
      <c r="L23" s="48">
        <v>8.121</v>
      </c>
      <c r="M23" s="52">
        <v>8.494</v>
      </c>
      <c r="N23" s="6">
        <f t="shared" si="0"/>
        <v>92.17</v>
      </c>
    </row>
    <row r="24" ht="17" customHeight="1" spans="1:14">
      <c r="A24" s="46">
        <v>22</v>
      </c>
      <c r="B24" s="51">
        <v>8.076</v>
      </c>
      <c r="C24" s="49">
        <v>8.32</v>
      </c>
      <c r="D24" s="49">
        <v>8.343</v>
      </c>
      <c r="E24" s="50">
        <v>7.795</v>
      </c>
      <c r="F24" s="50">
        <v>7.086</v>
      </c>
      <c r="G24" s="50">
        <v>7.367</v>
      </c>
      <c r="H24" s="50">
        <v>6.75</v>
      </c>
      <c r="I24" s="54">
        <v>7.286</v>
      </c>
      <c r="J24" s="54">
        <v>7.264</v>
      </c>
      <c r="K24" s="54">
        <v>7.224</v>
      </c>
      <c r="L24" s="50">
        <v>6.816</v>
      </c>
      <c r="M24" s="51">
        <v>7.293</v>
      </c>
      <c r="N24" s="6">
        <f t="shared" si="0"/>
        <v>83.43</v>
      </c>
    </row>
    <row r="25" ht="17" customHeight="1" spans="1:14">
      <c r="A25" s="46">
        <v>23</v>
      </c>
      <c r="B25" s="52">
        <v>7.004</v>
      </c>
      <c r="C25" s="47">
        <v>7.449</v>
      </c>
      <c r="D25" s="47">
        <v>7.413</v>
      </c>
      <c r="E25" s="48">
        <v>7.478</v>
      </c>
      <c r="F25" s="48">
        <v>7.852</v>
      </c>
      <c r="G25" s="48">
        <v>8.826</v>
      </c>
      <c r="H25" s="48">
        <v>8.408</v>
      </c>
      <c r="I25" s="53">
        <v>8.675</v>
      </c>
      <c r="J25" s="53">
        <v>9.012</v>
      </c>
      <c r="K25" s="53">
        <v>8.968</v>
      </c>
      <c r="L25" s="48">
        <v>8.461</v>
      </c>
      <c r="M25" s="52">
        <v>8.768</v>
      </c>
      <c r="N25" s="6">
        <f t="shared" si="0"/>
        <v>90.12</v>
      </c>
    </row>
    <row r="26" ht="17" customHeight="1" spans="1:14">
      <c r="A26" s="46">
        <v>24</v>
      </c>
      <c r="B26" s="51">
        <v>8.402</v>
      </c>
      <c r="C26" s="49">
        <v>8.722</v>
      </c>
      <c r="D26" s="49">
        <v>8.672</v>
      </c>
      <c r="E26" s="49">
        <v>8.497</v>
      </c>
      <c r="F26" s="50">
        <v>8.177</v>
      </c>
      <c r="G26" s="50">
        <v>8.891</v>
      </c>
      <c r="H26" s="50">
        <v>8.755</v>
      </c>
      <c r="I26" s="54">
        <v>9.133</v>
      </c>
      <c r="J26" s="54">
        <v>9.196</v>
      </c>
      <c r="K26" s="54">
        <v>9.246</v>
      </c>
      <c r="L26" s="50">
        <v>8.782</v>
      </c>
      <c r="M26" s="51">
        <v>9.051</v>
      </c>
      <c r="N26" s="6">
        <f t="shared" si="0"/>
        <v>92.46</v>
      </c>
    </row>
    <row r="27" ht="17" customHeight="1" spans="1:14">
      <c r="A27" s="46">
        <v>25</v>
      </c>
      <c r="B27" s="52">
        <v>8.777</v>
      </c>
      <c r="C27" s="47">
        <v>8.977</v>
      </c>
      <c r="D27" s="47">
        <v>9.068</v>
      </c>
      <c r="E27" s="48">
        <v>8.743</v>
      </c>
      <c r="F27" s="48">
        <v>8.49</v>
      </c>
      <c r="G27" s="48">
        <v>9.311</v>
      </c>
      <c r="H27" s="48">
        <v>9.024</v>
      </c>
      <c r="I27" s="53">
        <v>9.544</v>
      </c>
      <c r="J27" s="53">
        <v>9.772</v>
      </c>
      <c r="K27" s="53">
        <v>9</v>
      </c>
      <c r="L27" s="48">
        <v>9.258</v>
      </c>
      <c r="M27" s="52">
        <v>9.729</v>
      </c>
      <c r="N27" s="6">
        <f t="shared" si="0"/>
        <v>97.72</v>
      </c>
    </row>
    <row r="28" ht="17" customHeight="1" spans="1:14">
      <c r="A28" s="46">
        <v>26</v>
      </c>
      <c r="B28" s="51">
        <v>9.279</v>
      </c>
      <c r="C28" s="49">
        <v>9.548</v>
      </c>
      <c r="D28" s="49">
        <v>9.668</v>
      </c>
      <c r="E28" s="50">
        <v>9.464</v>
      </c>
      <c r="F28" s="50">
        <v>9.017</v>
      </c>
      <c r="G28" s="50">
        <v>9.525</v>
      </c>
      <c r="H28" s="50">
        <v>8.701</v>
      </c>
      <c r="I28" s="54">
        <v>9.489</v>
      </c>
      <c r="J28" s="54">
        <v>9.796</v>
      </c>
      <c r="K28" s="54">
        <v>9.988</v>
      </c>
      <c r="L28" s="50">
        <v>9.566</v>
      </c>
      <c r="M28" s="51">
        <v>9.845</v>
      </c>
      <c r="N28" s="6">
        <f t="shared" si="0"/>
        <v>99.88</v>
      </c>
    </row>
    <row r="29" ht="17" customHeight="1" spans="1:14">
      <c r="A29" s="46">
        <v>27</v>
      </c>
      <c r="B29" s="48">
        <v>9.475</v>
      </c>
      <c r="C29" s="47">
        <v>9.671</v>
      </c>
      <c r="D29" s="47">
        <v>9.563</v>
      </c>
      <c r="E29" s="48">
        <v>9.44</v>
      </c>
      <c r="F29" s="48">
        <v>9.002</v>
      </c>
      <c r="G29" s="48">
        <v>9.778</v>
      </c>
      <c r="H29" s="48">
        <v>9.367</v>
      </c>
      <c r="I29" s="53">
        <v>9.892</v>
      </c>
      <c r="J29" s="53">
        <v>10.033</v>
      </c>
      <c r="K29" s="53">
        <v>9.763</v>
      </c>
      <c r="L29" s="48">
        <v>9.356</v>
      </c>
      <c r="M29" s="52">
        <v>9.679</v>
      </c>
      <c r="N29" s="6">
        <f t="shared" si="0"/>
        <v>100.33</v>
      </c>
    </row>
    <row r="30" ht="17" customHeight="1" spans="1:14">
      <c r="A30" s="46">
        <v>28</v>
      </c>
      <c r="B30" s="51">
        <v>9.227</v>
      </c>
      <c r="C30" s="49">
        <v>9.405</v>
      </c>
      <c r="D30" s="49">
        <v>9.566</v>
      </c>
      <c r="E30" s="50">
        <v>9.349</v>
      </c>
      <c r="F30" s="50">
        <v>8.234</v>
      </c>
      <c r="G30" s="50">
        <v>8.595</v>
      </c>
      <c r="H30" s="50">
        <v>8.218</v>
      </c>
      <c r="I30" s="54">
        <v>8.642</v>
      </c>
      <c r="J30" s="54">
        <v>9.294</v>
      </c>
      <c r="K30" s="54">
        <v>8.909</v>
      </c>
      <c r="L30" s="50">
        <v>8.408</v>
      </c>
      <c r="M30" s="51">
        <v>8.538</v>
      </c>
      <c r="N30" s="6">
        <f t="shared" si="0"/>
        <v>95.66</v>
      </c>
    </row>
    <row r="31" ht="17" customHeight="1" spans="1:14">
      <c r="A31" s="46">
        <v>29</v>
      </c>
      <c r="B31" s="52">
        <v>8.425</v>
      </c>
      <c r="C31" s="47">
        <v>8.294</v>
      </c>
      <c r="D31" s="47">
        <v>8.038</v>
      </c>
      <c r="E31" s="47">
        <v>7.71</v>
      </c>
      <c r="F31" s="48">
        <v>5.754</v>
      </c>
      <c r="G31" s="48">
        <v>5.313</v>
      </c>
      <c r="H31" s="48">
        <v>5.303</v>
      </c>
      <c r="I31" s="53">
        <v>5.416</v>
      </c>
      <c r="J31" s="53">
        <v>4.864</v>
      </c>
      <c r="K31" s="53">
        <v>5.337</v>
      </c>
      <c r="L31" s="48">
        <v>5.711</v>
      </c>
      <c r="M31" s="52">
        <v>6.794</v>
      </c>
      <c r="N31" s="6">
        <f t="shared" si="0"/>
        <v>84.25</v>
      </c>
    </row>
    <row r="32" ht="17" customHeight="1" spans="1:14">
      <c r="A32" s="46">
        <v>30</v>
      </c>
      <c r="B32" s="51">
        <v>6.926</v>
      </c>
      <c r="C32" s="49">
        <v>6.905</v>
      </c>
      <c r="D32" s="49">
        <v>7.091</v>
      </c>
      <c r="E32" s="49">
        <v>7.448</v>
      </c>
      <c r="F32" s="50">
        <v>8.319</v>
      </c>
      <c r="G32" s="50">
        <v>9.338</v>
      </c>
      <c r="H32" s="50">
        <v>9.132</v>
      </c>
      <c r="I32" s="54">
        <v>9.523</v>
      </c>
      <c r="J32" s="54">
        <v>9.094</v>
      </c>
      <c r="K32" s="54">
        <v>10.067</v>
      </c>
      <c r="L32" s="50">
        <v>9.305</v>
      </c>
      <c r="M32" s="51">
        <v>9.744</v>
      </c>
      <c r="N32" s="6">
        <f t="shared" si="0"/>
        <v>100.67</v>
      </c>
    </row>
  </sheetData>
  <mergeCells count="1">
    <mergeCell ref="A1:M1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3"/>
  <sheetViews>
    <sheetView workbookViewId="0">
      <selection activeCell="O3" sqref="O3"/>
    </sheetView>
  </sheetViews>
  <sheetFormatPr defaultColWidth="9" defaultRowHeight="13.5"/>
  <cols>
    <col min="7" max="7" width="9.25"/>
  </cols>
  <sheetData>
    <row r="1" customFormat="1" ht="26" customHeight="1" spans="1:13">
      <c r="A1" s="42" t="s">
        <v>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customFormat="1" ht="24" customHeight="1" spans="1:14">
      <c r="A2" s="44" t="s">
        <v>2</v>
      </c>
      <c r="B2" s="45">
        <v>0</v>
      </c>
      <c r="C2" s="45">
        <v>0.0833333333333333</v>
      </c>
      <c r="D2" s="45">
        <v>0.166666666666667</v>
      </c>
      <c r="E2" s="45">
        <v>0.25</v>
      </c>
      <c r="F2" s="45">
        <v>0.333333333333333</v>
      </c>
      <c r="G2" s="45">
        <v>0.416666666666667</v>
      </c>
      <c r="H2" s="45">
        <v>0.5</v>
      </c>
      <c r="I2" s="45">
        <v>0.583333333333333</v>
      </c>
      <c r="J2" s="45">
        <v>0.666666666666667</v>
      </c>
      <c r="K2" s="45">
        <v>0.75</v>
      </c>
      <c r="L2" s="45">
        <v>0.833333333333333</v>
      </c>
      <c r="M2" s="45">
        <v>0.916666666666667</v>
      </c>
      <c r="N2" s="6" t="s">
        <v>3</v>
      </c>
    </row>
    <row r="3" customFormat="1" ht="17" customHeight="1" spans="1:14">
      <c r="A3" s="46">
        <v>1</v>
      </c>
      <c r="B3" s="47">
        <v>9.26</v>
      </c>
      <c r="C3" s="47">
        <v>9.556</v>
      </c>
      <c r="D3" s="47">
        <v>9.441</v>
      </c>
      <c r="E3" s="48">
        <v>9.238</v>
      </c>
      <c r="F3" s="48">
        <v>8.926</v>
      </c>
      <c r="G3" s="48">
        <v>9.591</v>
      </c>
      <c r="H3" s="48">
        <v>9.304</v>
      </c>
      <c r="I3" s="53">
        <v>9.932</v>
      </c>
      <c r="J3" s="53">
        <v>9.751</v>
      </c>
      <c r="K3" s="53">
        <v>10.108</v>
      </c>
      <c r="L3" s="48">
        <v>9.354</v>
      </c>
      <c r="M3" s="48">
        <v>9.783</v>
      </c>
      <c r="N3" s="6">
        <f t="shared" ref="N3:N33" si="0">MAX(B3:M3)*10</f>
        <v>101.08</v>
      </c>
    </row>
    <row r="4" customFormat="1" ht="17" customHeight="1" spans="1:14">
      <c r="A4" s="46">
        <v>2</v>
      </c>
      <c r="B4" s="49">
        <v>9.264</v>
      </c>
      <c r="C4" s="49">
        <v>9.545</v>
      </c>
      <c r="D4" s="49">
        <v>9.476</v>
      </c>
      <c r="E4" s="50">
        <v>9.365</v>
      </c>
      <c r="F4" s="50">
        <v>8.964</v>
      </c>
      <c r="G4" s="50">
        <v>9.732</v>
      </c>
      <c r="H4" s="50">
        <v>9.748</v>
      </c>
      <c r="I4" s="54">
        <v>9.768</v>
      </c>
      <c r="J4" s="54">
        <v>9.762</v>
      </c>
      <c r="K4" s="54">
        <v>10.155</v>
      </c>
      <c r="L4" s="50">
        <v>9.631</v>
      </c>
      <c r="M4" s="51">
        <v>9.897</v>
      </c>
      <c r="N4" s="6">
        <f t="shared" si="0"/>
        <v>101.55</v>
      </c>
    </row>
    <row r="5" customFormat="1" ht="17" customHeight="1" spans="1:14">
      <c r="A5" s="46">
        <v>3</v>
      </c>
      <c r="B5" s="48">
        <v>9.476</v>
      </c>
      <c r="C5" s="47">
        <v>9.836</v>
      </c>
      <c r="D5" s="47">
        <v>9.776</v>
      </c>
      <c r="E5" s="48">
        <v>9.543</v>
      </c>
      <c r="F5" s="48">
        <v>9.097</v>
      </c>
      <c r="G5" s="48">
        <v>9.772</v>
      </c>
      <c r="H5" s="48">
        <v>9.3</v>
      </c>
      <c r="I5" s="53">
        <v>9.546</v>
      </c>
      <c r="J5" s="53">
        <v>9.73</v>
      </c>
      <c r="K5" s="53">
        <v>10.09</v>
      </c>
      <c r="L5" s="48">
        <v>9.493</v>
      </c>
      <c r="M5" s="52">
        <v>9.891</v>
      </c>
      <c r="N5" s="6">
        <f t="shared" si="0"/>
        <v>100.9</v>
      </c>
    </row>
    <row r="6" customFormat="1" ht="17" customHeight="1" spans="1:14">
      <c r="A6" s="46">
        <v>4</v>
      </c>
      <c r="B6" s="50">
        <v>9.515</v>
      </c>
      <c r="C6" s="49">
        <v>9.789</v>
      </c>
      <c r="D6" s="49">
        <v>9.668</v>
      </c>
      <c r="E6" s="50">
        <v>9.461</v>
      </c>
      <c r="F6" s="50">
        <v>9.144</v>
      </c>
      <c r="G6" s="50">
        <v>9.533</v>
      </c>
      <c r="H6" s="50">
        <v>9.128</v>
      </c>
      <c r="I6" s="54">
        <v>9.478</v>
      </c>
      <c r="J6" s="54">
        <v>9.832</v>
      </c>
      <c r="K6" s="54">
        <v>9.992</v>
      </c>
      <c r="L6" s="50">
        <v>9.621</v>
      </c>
      <c r="M6" s="51">
        <v>9.98</v>
      </c>
      <c r="N6" s="6">
        <f t="shared" si="0"/>
        <v>99.92</v>
      </c>
    </row>
    <row r="7" customFormat="1" ht="17" customHeight="1" spans="1:14">
      <c r="A7" s="46">
        <v>5</v>
      </c>
      <c r="B7" s="48">
        <v>9.693</v>
      </c>
      <c r="C7" s="47">
        <v>9.778</v>
      </c>
      <c r="D7" s="47">
        <v>9.806</v>
      </c>
      <c r="E7" s="48">
        <v>9.567</v>
      </c>
      <c r="F7" s="48">
        <v>9.135</v>
      </c>
      <c r="G7" s="48">
        <v>9.57</v>
      </c>
      <c r="H7" s="48">
        <v>9.127</v>
      </c>
      <c r="I7" s="53">
        <v>9.207</v>
      </c>
      <c r="J7" s="53">
        <v>9.719</v>
      </c>
      <c r="K7" s="53">
        <v>9.914</v>
      </c>
      <c r="L7" s="48">
        <v>9.319</v>
      </c>
      <c r="M7" s="52">
        <v>9.783</v>
      </c>
      <c r="N7" s="6">
        <f t="shared" si="0"/>
        <v>99.14</v>
      </c>
    </row>
    <row r="8" customFormat="1" ht="17" customHeight="1" spans="1:14">
      <c r="A8" s="46">
        <v>6</v>
      </c>
      <c r="B8" s="51">
        <v>9.303</v>
      </c>
      <c r="C8" s="49">
        <v>9.591</v>
      </c>
      <c r="D8" s="49">
        <v>9.628</v>
      </c>
      <c r="E8" s="50">
        <v>9.251</v>
      </c>
      <c r="F8" s="50">
        <v>7.576</v>
      </c>
      <c r="G8" s="50">
        <v>7.462</v>
      </c>
      <c r="H8" s="50">
        <v>7.187</v>
      </c>
      <c r="I8" s="54">
        <v>7.692</v>
      </c>
      <c r="J8" s="54">
        <v>7.679</v>
      </c>
      <c r="K8" s="54">
        <v>7.983</v>
      </c>
      <c r="L8" s="50">
        <v>7.946</v>
      </c>
      <c r="M8" s="51">
        <v>8.605</v>
      </c>
      <c r="N8" s="6">
        <f t="shared" si="0"/>
        <v>96.28</v>
      </c>
    </row>
    <row r="9" customFormat="1" ht="17" customHeight="1" spans="1:14">
      <c r="A9" s="46">
        <v>7</v>
      </c>
      <c r="B9" s="48">
        <v>8.297</v>
      </c>
      <c r="C9" s="47">
        <v>8.443</v>
      </c>
      <c r="D9" s="47">
        <v>8.646</v>
      </c>
      <c r="E9" s="48">
        <v>8.677</v>
      </c>
      <c r="F9" s="48">
        <v>8.904</v>
      </c>
      <c r="G9" s="48">
        <v>9.452</v>
      </c>
      <c r="H9" s="48">
        <v>8.978</v>
      </c>
      <c r="I9" s="53">
        <v>9.492</v>
      </c>
      <c r="J9" s="53">
        <v>9.793</v>
      </c>
      <c r="K9" s="53">
        <v>10.13</v>
      </c>
      <c r="L9" s="48">
        <v>9.704</v>
      </c>
      <c r="M9" s="52">
        <v>10.021</v>
      </c>
      <c r="N9" s="6">
        <f t="shared" si="0"/>
        <v>101.3</v>
      </c>
    </row>
    <row r="10" customFormat="1" ht="17" customHeight="1" spans="1:14">
      <c r="A10" s="46">
        <v>8</v>
      </c>
      <c r="B10" s="51">
        <v>9.655</v>
      </c>
      <c r="C10" s="50">
        <v>9.993</v>
      </c>
      <c r="D10" s="49">
        <v>9.903</v>
      </c>
      <c r="E10" s="50">
        <v>9.736</v>
      </c>
      <c r="F10" s="50">
        <v>9.123</v>
      </c>
      <c r="G10" s="50">
        <v>9.653</v>
      </c>
      <c r="H10" s="50">
        <v>9.125</v>
      </c>
      <c r="I10" s="54">
        <v>9.529</v>
      </c>
      <c r="J10" s="54">
        <v>9.838</v>
      </c>
      <c r="K10" s="54">
        <v>10.302</v>
      </c>
      <c r="L10" s="50">
        <v>9.66</v>
      </c>
      <c r="M10" s="51">
        <v>10.164</v>
      </c>
      <c r="N10" s="6">
        <f t="shared" si="0"/>
        <v>103.02</v>
      </c>
    </row>
    <row r="11" customFormat="1" ht="17" customHeight="1" spans="1:14">
      <c r="A11" s="46">
        <v>9</v>
      </c>
      <c r="B11" s="47">
        <v>9.635</v>
      </c>
      <c r="C11" s="47">
        <v>10.127</v>
      </c>
      <c r="D11" s="47">
        <v>10.121</v>
      </c>
      <c r="E11" s="47">
        <v>9.892</v>
      </c>
      <c r="F11" s="48">
        <v>9.546</v>
      </c>
      <c r="G11" s="48">
        <v>9.772</v>
      </c>
      <c r="H11" s="48">
        <v>9.632</v>
      </c>
      <c r="I11" s="53">
        <v>9.541</v>
      </c>
      <c r="J11" s="53">
        <v>10.75</v>
      </c>
      <c r="K11" s="53">
        <v>10.015</v>
      </c>
      <c r="L11" s="48">
        <v>9.674</v>
      </c>
      <c r="M11" s="52">
        <v>10.147</v>
      </c>
      <c r="N11" s="6">
        <f t="shared" si="0"/>
        <v>107.5</v>
      </c>
    </row>
    <row r="12" customFormat="1" ht="17" customHeight="1" spans="1:14">
      <c r="A12" s="46">
        <v>10</v>
      </c>
      <c r="B12" s="51">
        <v>9.67</v>
      </c>
      <c r="C12" s="49">
        <v>9.987</v>
      </c>
      <c r="D12" s="49">
        <v>9.994</v>
      </c>
      <c r="E12" s="50">
        <v>9.915</v>
      </c>
      <c r="F12" s="50">
        <v>9.088</v>
      </c>
      <c r="G12" s="50">
        <v>9.447</v>
      </c>
      <c r="H12" s="50">
        <v>9.447</v>
      </c>
      <c r="I12" s="54">
        <v>10.551</v>
      </c>
      <c r="J12" s="54">
        <v>9.814</v>
      </c>
      <c r="K12" s="54">
        <v>10.332</v>
      </c>
      <c r="L12" s="50">
        <v>9.856</v>
      </c>
      <c r="M12" s="51">
        <v>10.056</v>
      </c>
      <c r="N12" s="6">
        <f t="shared" si="0"/>
        <v>105.51</v>
      </c>
    </row>
    <row r="13" customFormat="1" ht="17" customHeight="1" spans="1:14">
      <c r="A13" s="46">
        <v>11</v>
      </c>
      <c r="B13" s="52">
        <v>9.751</v>
      </c>
      <c r="C13" s="47">
        <v>9.805</v>
      </c>
      <c r="D13" s="47">
        <v>9.813</v>
      </c>
      <c r="E13" s="48">
        <v>9.837</v>
      </c>
      <c r="F13" s="48">
        <v>9.25</v>
      </c>
      <c r="G13" s="48">
        <v>9.445</v>
      </c>
      <c r="H13" s="48">
        <v>9.117</v>
      </c>
      <c r="I13" s="53">
        <v>9.351</v>
      </c>
      <c r="J13" s="53">
        <v>9.642</v>
      </c>
      <c r="K13" s="53">
        <v>10.28</v>
      </c>
      <c r="L13" s="48">
        <v>9.483</v>
      </c>
      <c r="M13" s="52">
        <v>10.14</v>
      </c>
      <c r="N13" s="6">
        <f t="shared" si="0"/>
        <v>102.8</v>
      </c>
    </row>
    <row r="14" customFormat="1" ht="17" customHeight="1" spans="1:14">
      <c r="A14" s="46">
        <v>12</v>
      </c>
      <c r="B14" s="51">
        <v>9.502</v>
      </c>
      <c r="C14" s="49">
        <v>9.834</v>
      </c>
      <c r="D14" s="49">
        <v>9.835</v>
      </c>
      <c r="E14" s="50">
        <v>9.728</v>
      </c>
      <c r="F14" s="50">
        <v>8.713</v>
      </c>
      <c r="G14" s="50">
        <v>9.077</v>
      </c>
      <c r="H14" s="50">
        <v>8.509</v>
      </c>
      <c r="I14" s="54">
        <v>10.015</v>
      </c>
      <c r="J14" s="54">
        <v>10.101</v>
      </c>
      <c r="K14" s="54">
        <v>9.716</v>
      </c>
      <c r="L14" s="50">
        <v>8.998</v>
      </c>
      <c r="M14" s="51">
        <v>9.541</v>
      </c>
      <c r="N14" s="6">
        <f t="shared" si="0"/>
        <v>101.01</v>
      </c>
    </row>
    <row r="15" customFormat="1" ht="17" customHeight="1" spans="1:14">
      <c r="A15" s="46">
        <v>13</v>
      </c>
      <c r="B15" s="48">
        <v>9.034</v>
      </c>
      <c r="C15" s="47">
        <v>9.326</v>
      </c>
      <c r="D15" s="47">
        <v>9.351</v>
      </c>
      <c r="E15" s="48">
        <v>8.748</v>
      </c>
      <c r="F15" s="48">
        <v>7.611</v>
      </c>
      <c r="G15" s="48">
        <v>7.861</v>
      </c>
      <c r="H15" s="48">
        <v>7.362</v>
      </c>
      <c r="I15" s="53">
        <v>7.264</v>
      </c>
      <c r="J15" s="53">
        <v>7.348</v>
      </c>
      <c r="K15" s="53">
        <v>7.932</v>
      </c>
      <c r="L15" s="48">
        <v>7.9</v>
      </c>
      <c r="M15" s="52">
        <v>8.598</v>
      </c>
      <c r="N15" s="6">
        <f t="shared" si="0"/>
        <v>93.51</v>
      </c>
    </row>
    <row r="16" customFormat="1" ht="17" customHeight="1" spans="1:14">
      <c r="A16" s="46">
        <v>14</v>
      </c>
      <c r="B16" s="51">
        <v>8.185</v>
      </c>
      <c r="C16" s="49">
        <v>8.464</v>
      </c>
      <c r="D16" s="49">
        <v>8.408</v>
      </c>
      <c r="E16" s="50">
        <v>8.403</v>
      </c>
      <c r="F16" s="50">
        <v>8.288</v>
      </c>
      <c r="G16" s="50">
        <v>9.116</v>
      </c>
      <c r="H16" s="50">
        <v>9.069</v>
      </c>
      <c r="I16" s="54">
        <v>9.114</v>
      </c>
      <c r="J16" s="54">
        <v>9.55</v>
      </c>
      <c r="K16" s="54">
        <v>10.259</v>
      </c>
      <c r="L16" s="50">
        <v>9.443</v>
      </c>
      <c r="M16" s="51">
        <v>10.108</v>
      </c>
      <c r="N16" s="6">
        <f t="shared" si="0"/>
        <v>102.59</v>
      </c>
    </row>
    <row r="17" customFormat="1" ht="17" customHeight="1" spans="1:14">
      <c r="A17" s="46">
        <v>15</v>
      </c>
      <c r="B17" s="52">
        <v>9.652</v>
      </c>
      <c r="C17" s="47">
        <v>9.974</v>
      </c>
      <c r="D17" s="47">
        <v>9.985</v>
      </c>
      <c r="E17" s="48">
        <v>9.815</v>
      </c>
      <c r="F17" s="48">
        <v>9.032</v>
      </c>
      <c r="G17" s="48">
        <v>9.251</v>
      </c>
      <c r="H17" s="48">
        <v>8.56</v>
      </c>
      <c r="I17" s="53">
        <v>9.12</v>
      </c>
      <c r="J17" s="53">
        <v>9.437</v>
      </c>
      <c r="K17" s="53">
        <v>10.252</v>
      </c>
      <c r="L17" s="48">
        <v>9.667</v>
      </c>
      <c r="M17" s="52">
        <v>10.142</v>
      </c>
      <c r="N17" s="6">
        <f t="shared" si="0"/>
        <v>102.52</v>
      </c>
    </row>
    <row r="18" customFormat="1" ht="17" customHeight="1" spans="1:14">
      <c r="A18" s="46">
        <v>16</v>
      </c>
      <c r="B18" s="51">
        <v>9.496</v>
      </c>
      <c r="C18" s="49">
        <v>9.955</v>
      </c>
      <c r="D18" s="49">
        <v>9.983</v>
      </c>
      <c r="E18" s="49">
        <v>9.894</v>
      </c>
      <c r="F18" s="50">
        <v>8.929</v>
      </c>
      <c r="G18" s="50">
        <v>9.205</v>
      </c>
      <c r="H18" s="50">
        <v>9.027</v>
      </c>
      <c r="I18" s="54">
        <v>9.22</v>
      </c>
      <c r="J18" s="54">
        <v>9.943</v>
      </c>
      <c r="K18" s="54">
        <v>10.04</v>
      </c>
      <c r="L18" s="50">
        <v>9.533</v>
      </c>
      <c r="M18" s="51">
        <v>10.076</v>
      </c>
      <c r="N18" s="6">
        <f t="shared" si="0"/>
        <v>100.76</v>
      </c>
    </row>
    <row r="19" customFormat="1" ht="17" customHeight="1" spans="1:14">
      <c r="A19" s="46">
        <v>17</v>
      </c>
      <c r="B19" s="52">
        <v>9.513</v>
      </c>
      <c r="C19" s="47">
        <v>9.944</v>
      </c>
      <c r="D19" s="47">
        <v>9.995</v>
      </c>
      <c r="E19" s="48">
        <v>9.832</v>
      </c>
      <c r="F19" s="48">
        <v>9.222</v>
      </c>
      <c r="G19" s="48">
        <v>9.748</v>
      </c>
      <c r="H19" s="48">
        <v>9.111</v>
      </c>
      <c r="I19" s="53">
        <v>9.911</v>
      </c>
      <c r="J19" s="53">
        <v>9.927</v>
      </c>
      <c r="K19" s="53">
        <v>10.41</v>
      </c>
      <c r="L19" s="48">
        <v>9.753</v>
      </c>
      <c r="M19" s="52">
        <v>10.141</v>
      </c>
      <c r="N19" s="6">
        <f t="shared" si="0"/>
        <v>104.1</v>
      </c>
    </row>
    <row r="20" customFormat="1" ht="17" customHeight="1" spans="1:14">
      <c r="A20" s="46">
        <v>18</v>
      </c>
      <c r="B20" s="51">
        <v>9.751</v>
      </c>
      <c r="C20" s="49">
        <v>10.219</v>
      </c>
      <c r="D20" s="49">
        <v>10.224</v>
      </c>
      <c r="E20" s="49">
        <v>10.104</v>
      </c>
      <c r="F20" s="50">
        <v>9.481</v>
      </c>
      <c r="G20" s="50">
        <v>9.538</v>
      </c>
      <c r="H20" s="50">
        <v>8.677</v>
      </c>
      <c r="I20" s="54">
        <v>9.146</v>
      </c>
      <c r="J20" s="54">
        <v>10.488</v>
      </c>
      <c r="K20" s="54">
        <v>10.245</v>
      </c>
      <c r="L20" s="50">
        <v>9.795</v>
      </c>
      <c r="M20" s="51">
        <v>10.336</v>
      </c>
      <c r="N20" s="6">
        <f t="shared" si="0"/>
        <v>104.88</v>
      </c>
    </row>
    <row r="21" customFormat="1" ht="17" customHeight="1" spans="1:14">
      <c r="A21" s="46">
        <v>19</v>
      </c>
      <c r="B21" s="52">
        <v>9.725</v>
      </c>
      <c r="C21" s="47">
        <v>10.068</v>
      </c>
      <c r="D21" s="47">
        <v>10.145</v>
      </c>
      <c r="E21" s="48">
        <v>9.986</v>
      </c>
      <c r="F21" s="48">
        <v>8.795</v>
      </c>
      <c r="G21" s="48">
        <v>9.104</v>
      </c>
      <c r="H21" s="48">
        <v>8.699</v>
      </c>
      <c r="I21" s="53">
        <v>8.915</v>
      </c>
      <c r="J21" s="53">
        <v>9.334</v>
      </c>
      <c r="K21" s="53">
        <v>9.721</v>
      </c>
      <c r="L21" s="48">
        <v>9.17</v>
      </c>
      <c r="M21" s="52">
        <v>9.477</v>
      </c>
      <c r="N21" s="6">
        <f t="shared" si="0"/>
        <v>101.45</v>
      </c>
    </row>
    <row r="22" customFormat="1" ht="17" customHeight="1" spans="1:14">
      <c r="A22" s="46">
        <v>20</v>
      </c>
      <c r="B22" s="51">
        <v>8.99</v>
      </c>
      <c r="C22" s="49">
        <v>9.207</v>
      </c>
      <c r="D22" s="49">
        <v>9.26</v>
      </c>
      <c r="E22" s="50">
        <v>8.91</v>
      </c>
      <c r="F22" s="50">
        <v>7.914</v>
      </c>
      <c r="G22" s="50">
        <v>7.722</v>
      </c>
      <c r="H22" s="50">
        <v>7.146</v>
      </c>
      <c r="I22" s="54">
        <v>8.053</v>
      </c>
      <c r="J22" s="54">
        <v>8.444</v>
      </c>
      <c r="K22" s="54">
        <v>8.411</v>
      </c>
      <c r="L22" s="50">
        <v>8.141</v>
      </c>
      <c r="M22" s="51">
        <v>8.829</v>
      </c>
      <c r="N22" s="6">
        <f t="shared" si="0"/>
        <v>92.6</v>
      </c>
    </row>
    <row r="23" customFormat="1" ht="17" customHeight="1" spans="1:14">
      <c r="A23" s="46">
        <v>21</v>
      </c>
      <c r="B23" s="52">
        <v>8.46</v>
      </c>
      <c r="C23" s="47">
        <v>8.544</v>
      </c>
      <c r="D23" s="47">
        <v>8.622</v>
      </c>
      <c r="E23" s="48">
        <v>8.853</v>
      </c>
      <c r="F23" s="48">
        <v>8.931</v>
      </c>
      <c r="G23" s="48">
        <v>9.877</v>
      </c>
      <c r="H23" s="48">
        <v>9.366</v>
      </c>
      <c r="I23" s="53">
        <v>9.404</v>
      </c>
      <c r="J23" s="53">
        <v>10.056</v>
      </c>
      <c r="K23" s="53">
        <v>10.431</v>
      </c>
      <c r="L23" s="48">
        <v>9.794</v>
      </c>
      <c r="M23" s="52">
        <v>10.022</v>
      </c>
      <c r="N23" s="6">
        <f t="shared" si="0"/>
        <v>104.31</v>
      </c>
    </row>
    <row r="24" customFormat="1" ht="17" customHeight="1" spans="1:14">
      <c r="A24" s="46">
        <v>22</v>
      </c>
      <c r="B24" s="51">
        <v>9.458</v>
      </c>
      <c r="C24" s="49">
        <v>9.925</v>
      </c>
      <c r="D24" s="49">
        <v>10.094</v>
      </c>
      <c r="E24" s="50">
        <v>9.716</v>
      </c>
      <c r="F24" s="50">
        <v>9.443</v>
      </c>
      <c r="G24" s="50">
        <v>10.36</v>
      </c>
      <c r="H24" s="50">
        <v>9.268</v>
      </c>
      <c r="I24" s="54">
        <v>9.463</v>
      </c>
      <c r="J24" s="54">
        <v>10.08</v>
      </c>
      <c r="K24" s="54">
        <v>10.224</v>
      </c>
      <c r="L24" s="50">
        <v>9.477</v>
      </c>
      <c r="M24" s="51">
        <v>9.929</v>
      </c>
      <c r="N24" s="6">
        <f t="shared" ref="N24:N30" si="1">MAX(B24:M24)*10</f>
        <v>103.6</v>
      </c>
    </row>
    <row r="25" customFormat="1" ht="17" customHeight="1" spans="1:14">
      <c r="A25" s="46">
        <v>23</v>
      </c>
      <c r="B25" s="52">
        <v>9.517</v>
      </c>
      <c r="C25" s="47">
        <v>9.772</v>
      </c>
      <c r="D25" s="47">
        <v>9.805</v>
      </c>
      <c r="E25" s="48">
        <v>9.572</v>
      </c>
      <c r="F25" s="48">
        <v>9.2023</v>
      </c>
      <c r="G25" s="48">
        <v>9.577</v>
      </c>
      <c r="H25" s="48">
        <v>9.409</v>
      </c>
      <c r="I25" s="53">
        <v>9.121</v>
      </c>
      <c r="J25" s="53">
        <v>10.168</v>
      </c>
      <c r="K25" s="53">
        <v>10.37</v>
      </c>
      <c r="L25" s="48">
        <v>9.727</v>
      </c>
      <c r="M25" s="52">
        <v>10.172</v>
      </c>
      <c r="N25" s="6">
        <f t="shared" si="1"/>
        <v>103.7</v>
      </c>
    </row>
    <row r="26" customFormat="1" ht="17" customHeight="1" spans="1:14">
      <c r="A26" s="46">
        <v>24</v>
      </c>
      <c r="B26" s="51">
        <v>9.624</v>
      </c>
      <c r="C26" s="49">
        <v>10.026</v>
      </c>
      <c r="D26" s="49">
        <v>9.954</v>
      </c>
      <c r="E26" s="49">
        <v>9.755</v>
      </c>
      <c r="F26" s="50">
        <v>9.042</v>
      </c>
      <c r="G26" s="50">
        <v>9.734</v>
      </c>
      <c r="H26" s="50">
        <v>9.382</v>
      </c>
      <c r="I26" s="54">
        <v>9.356</v>
      </c>
      <c r="J26" s="54">
        <v>10.208</v>
      </c>
      <c r="K26" s="54">
        <v>10.219</v>
      </c>
      <c r="L26" s="50">
        <v>9.629</v>
      </c>
      <c r="M26" s="51">
        <v>10.028</v>
      </c>
      <c r="N26" s="6">
        <f t="shared" si="1"/>
        <v>102.19</v>
      </c>
    </row>
    <row r="27" customFormat="1" ht="17" customHeight="1" spans="1:14">
      <c r="A27" s="46">
        <v>25</v>
      </c>
      <c r="B27" s="52">
        <v>9.436</v>
      </c>
      <c r="C27" s="47">
        <v>10.011</v>
      </c>
      <c r="D27" s="47">
        <v>10.027</v>
      </c>
      <c r="E27" s="48">
        <v>9.874</v>
      </c>
      <c r="F27" s="48">
        <v>9.247</v>
      </c>
      <c r="G27" s="48">
        <v>9.544</v>
      </c>
      <c r="H27" s="48">
        <v>8.994</v>
      </c>
      <c r="I27" s="53">
        <v>9.31</v>
      </c>
      <c r="J27" s="53">
        <v>9.855</v>
      </c>
      <c r="K27" s="53">
        <v>10.501</v>
      </c>
      <c r="L27" s="48">
        <v>9.685</v>
      </c>
      <c r="M27" s="52">
        <v>10.152</v>
      </c>
      <c r="N27" s="6">
        <f t="shared" si="1"/>
        <v>105.01</v>
      </c>
    </row>
    <row r="28" customFormat="1" ht="17" customHeight="1" spans="1:14">
      <c r="A28" s="46">
        <v>26</v>
      </c>
      <c r="B28" s="51">
        <v>9.592</v>
      </c>
      <c r="C28" s="49">
        <v>9.982</v>
      </c>
      <c r="D28" s="49">
        <v>10.135</v>
      </c>
      <c r="E28" s="50">
        <v>9.776</v>
      </c>
      <c r="F28" s="50">
        <v>9.011</v>
      </c>
      <c r="G28" s="50">
        <v>9.261</v>
      </c>
      <c r="H28" s="50">
        <v>8.388</v>
      </c>
      <c r="I28" s="54">
        <v>8.946</v>
      </c>
      <c r="J28" s="54">
        <v>10.133</v>
      </c>
      <c r="K28" s="54">
        <v>9.812</v>
      </c>
      <c r="L28" s="50">
        <v>9.579</v>
      </c>
      <c r="M28" s="51">
        <v>9.899</v>
      </c>
      <c r="N28" s="6">
        <f t="shared" si="1"/>
        <v>101.35</v>
      </c>
    </row>
    <row r="29" customFormat="1" ht="17" customHeight="1" spans="1:14">
      <c r="A29" s="46">
        <v>27</v>
      </c>
      <c r="B29" s="48">
        <v>9.354</v>
      </c>
      <c r="C29" s="47">
        <v>9.614</v>
      </c>
      <c r="D29" s="47">
        <v>9.607</v>
      </c>
      <c r="E29" s="48">
        <v>8.97</v>
      </c>
      <c r="F29" s="48">
        <v>7.028</v>
      </c>
      <c r="G29" s="48">
        <v>6.782</v>
      </c>
      <c r="H29" s="48">
        <v>7.057</v>
      </c>
      <c r="I29" s="53">
        <v>7.432</v>
      </c>
      <c r="J29" s="53">
        <v>7.425</v>
      </c>
      <c r="K29" s="53">
        <v>7.834</v>
      </c>
      <c r="L29" s="48">
        <v>7.192</v>
      </c>
      <c r="M29" s="52">
        <v>8.086</v>
      </c>
      <c r="N29" s="6">
        <f t="shared" si="1"/>
        <v>96.14</v>
      </c>
    </row>
    <row r="30" customFormat="1" ht="17" customHeight="1" spans="1:14">
      <c r="A30" s="46">
        <v>28</v>
      </c>
      <c r="B30" s="51">
        <v>7.799</v>
      </c>
      <c r="C30" s="49">
        <v>8.088</v>
      </c>
      <c r="D30" s="49">
        <v>8.117</v>
      </c>
      <c r="E30" s="50">
        <v>8.388</v>
      </c>
      <c r="F30" s="50">
        <v>9.001</v>
      </c>
      <c r="G30" s="50">
        <v>9.724</v>
      </c>
      <c r="H30" s="50">
        <v>9.231</v>
      </c>
      <c r="I30" s="54">
        <v>9.451</v>
      </c>
      <c r="J30" s="54">
        <v>9.775</v>
      </c>
      <c r="K30" s="54">
        <v>10.435</v>
      </c>
      <c r="L30" s="50">
        <v>9.768</v>
      </c>
      <c r="M30" s="51">
        <v>10.014</v>
      </c>
      <c r="N30" s="6">
        <f t="shared" si="1"/>
        <v>104.35</v>
      </c>
    </row>
    <row r="31" customFormat="1" ht="17" customHeight="1" spans="1:14">
      <c r="A31" s="46">
        <v>29</v>
      </c>
      <c r="B31" s="52">
        <v>9.522</v>
      </c>
      <c r="C31" s="47">
        <v>9.718</v>
      </c>
      <c r="D31" s="47">
        <v>9.847</v>
      </c>
      <c r="E31" s="47">
        <v>9.788</v>
      </c>
      <c r="F31" s="48">
        <v>9.698</v>
      </c>
      <c r="G31" s="48">
        <v>9.892</v>
      </c>
      <c r="H31" s="48">
        <v>9.661</v>
      </c>
      <c r="I31" s="53">
        <v>9.715</v>
      </c>
      <c r="J31" s="53">
        <v>9.981</v>
      </c>
      <c r="K31" s="53">
        <v>10.263</v>
      </c>
      <c r="L31" s="48">
        <v>9.839</v>
      </c>
      <c r="M31" s="52">
        <v>9.953</v>
      </c>
      <c r="N31" s="6">
        <f t="shared" si="0"/>
        <v>102.63</v>
      </c>
    </row>
    <row r="32" customFormat="1" ht="17" customHeight="1" spans="1:14">
      <c r="A32" s="46">
        <v>30</v>
      </c>
      <c r="B32" s="51">
        <v>9.279</v>
      </c>
      <c r="C32" s="49">
        <v>9.616</v>
      </c>
      <c r="D32" s="49">
        <v>9.858</v>
      </c>
      <c r="E32" s="49">
        <v>9.583</v>
      </c>
      <c r="F32" s="50">
        <v>9.313</v>
      </c>
      <c r="G32" s="50">
        <v>9.781</v>
      </c>
      <c r="H32" s="50">
        <v>9.673</v>
      </c>
      <c r="I32" s="54">
        <v>10.626</v>
      </c>
      <c r="J32" s="54">
        <v>10.183</v>
      </c>
      <c r="K32" s="54">
        <v>10.34</v>
      </c>
      <c r="L32" s="50">
        <v>9.649</v>
      </c>
      <c r="M32" s="51">
        <v>9.922</v>
      </c>
      <c r="N32" s="6">
        <f t="shared" si="0"/>
        <v>106.26</v>
      </c>
    </row>
    <row r="33" customFormat="1" ht="16.5" spans="1:14">
      <c r="A33" s="46">
        <v>31</v>
      </c>
      <c r="B33" s="52">
        <v>9.33</v>
      </c>
      <c r="C33" s="47">
        <v>9.674</v>
      </c>
      <c r="D33" s="47">
        <v>9.888</v>
      </c>
      <c r="E33" s="47">
        <v>9.568</v>
      </c>
      <c r="F33" s="48">
        <v>9.486</v>
      </c>
      <c r="G33" s="48">
        <v>10.395</v>
      </c>
      <c r="H33" s="48">
        <v>9.327</v>
      </c>
      <c r="I33" s="53">
        <v>9.521</v>
      </c>
      <c r="J33" s="53">
        <v>10.041</v>
      </c>
      <c r="K33" s="53">
        <v>10.461</v>
      </c>
      <c r="L33" s="48">
        <v>9.747</v>
      </c>
      <c r="M33" s="52">
        <v>9.847</v>
      </c>
      <c r="N33" s="6">
        <f t="shared" si="0"/>
        <v>104.61</v>
      </c>
    </row>
  </sheetData>
  <mergeCells count="1">
    <mergeCell ref="A1:M1"/>
  </mergeCells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3"/>
  <sheetViews>
    <sheetView workbookViewId="0">
      <selection activeCell="O3" sqref="O3"/>
    </sheetView>
  </sheetViews>
  <sheetFormatPr defaultColWidth="9" defaultRowHeight="13.5"/>
  <cols>
    <col min="7" max="7" width="9.25"/>
    <col min="13" max="13" width="9.25"/>
  </cols>
  <sheetData>
    <row r="1" customFormat="1" ht="26" customHeight="1" spans="1:13">
      <c r="A1" s="42" t="s">
        <v>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customFormat="1" ht="24" customHeight="1" spans="1:14">
      <c r="A2" s="44" t="s">
        <v>2</v>
      </c>
      <c r="B2" s="45">
        <v>0</v>
      </c>
      <c r="C2" s="45">
        <v>0.0833333333333333</v>
      </c>
      <c r="D2" s="45">
        <v>0.166666666666667</v>
      </c>
      <c r="E2" s="45">
        <v>0.25</v>
      </c>
      <c r="F2" s="45">
        <v>0.333333333333333</v>
      </c>
      <c r="G2" s="45">
        <v>0.416666666666667</v>
      </c>
      <c r="H2" s="45">
        <v>0.5</v>
      </c>
      <c r="I2" s="45">
        <v>0.583333333333333</v>
      </c>
      <c r="J2" s="45">
        <v>0.666666666666667</v>
      </c>
      <c r="K2" s="45">
        <v>0.75</v>
      </c>
      <c r="L2" s="45">
        <v>0.833333333333333</v>
      </c>
      <c r="M2" s="45">
        <v>0.916666666666667</v>
      </c>
      <c r="N2" s="6" t="s">
        <v>3</v>
      </c>
    </row>
    <row r="3" customFormat="1" ht="17" customHeight="1" spans="1:14">
      <c r="A3" s="46">
        <v>1</v>
      </c>
      <c r="B3" s="47">
        <v>9.265</v>
      </c>
      <c r="C3" s="47">
        <v>9.607</v>
      </c>
      <c r="D3" s="47">
        <v>9.698</v>
      </c>
      <c r="E3" s="48">
        <v>9.662</v>
      </c>
      <c r="F3" s="48">
        <v>9.236</v>
      </c>
      <c r="G3" s="48">
        <v>9.691</v>
      </c>
      <c r="H3" s="48">
        <v>8.795</v>
      </c>
      <c r="I3" s="53">
        <v>9.588</v>
      </c>
      <c r="J3" s="53">
        <v>10.229</v>
      </c>
      <c r="K3" s="53">
        <v>10.108</v>
      </c>
      <c r="L3" s="48">
        <v>8.91</v>
      </c>
      <c r="M3" s="48">
        <v>9.821</v>
      </c>
      <c r="N3" s="6">
        <f t="shared" ref="N3:N33" si="0">MAX(B3:M3)*10</f>
        <v>102.29</v>
      </c>
    </row>
    <row r="4" customFormat="1" ht="17" customHeight="1" spans="1:14">
      <c r="A4" s="46">
        <v>2</v>
      </c>
      <c r="B4" s="49">
        <v>9.286</v>
      </c>
      <c r="C4" s="49">
        <v>9.634</v>
      </c>
      <c r="D4" s="49">
        <v>9.811</v>
      </c>
      <c r="E4" s="50">
        <v>9.632</v>
      </c>
      <c r="F4" s="50">
        <v>9.236</v>
      </c>
      <c r="G4" s="50">
        <v>9.691</v>
      </c>
      <c r="H4" s="50">
        <v>8.795</v>
      </c>
      <c r="I4" s="54">
        <v>9.588</v>
      </c>
      <c r="J4" s="54">
        <v>10.229</v>
      </c>
      <c r="K4" s="54">
        <v>10.108</v>
      </c>
      <c r="L4" s="50">
        <v>8.91</v>
      </c>
      <c r="M4" s="51">
        <v>9.361</v>
      </c>
      <c r="N4" s="6">
        <f t="shared" si="0"/>
        <v>102.29</v>
      </c>
    </row>
    <row r="5" customFormat="1" ht="17" customHeight="1" spans="1:14">
      <c r="A5" s="46">
        <v>3</v>
      </c>
      <c r="B5" s="48">
        <v>8.966</v>
      </c>
      <c r="C5" s="47">
        <v>9.292</v>
      </c>
      <c r="D5" s="47">
        <v>9.205</v>
      </c>
      <c r="E5" s="48">
        <v>8.766</v>
      </c>
      <c r="F5" s="48">
        <v>7.053</v>
      </c>
      <c r="G5" s="48">
        <v>5.869</v>
      </c>
      <c r="H5" s="48">
        <v>5.389</v>
      </c>
      <c r="I5" s="53">
        <v>5.647</v>
      </c>
      <c r="J5" s="53">
        <v>6.337</v>
      </c>
      <c r="K5" s="53">
        <v>6.806</v>
      </c>
      <c r="L5" s="48">
        <v>6.827</v>
      </c>
      <c r="M5" s="52">
        <v>7.611</v>
      </c>
      <c r="N5" s="6">
        <f t="shared" si="0"/>
        <v>92.92</v>
      </c>
    </row>
    <row r="6" customFormat="1" ht="17" customHeight="1" spans="1:14">
      <c r="A6" s="46">
        <v>4</v>
      </c>
      <c r="B6" s="50">
        <v>7.323</v>
      </c>
      <c r="C6" s="49">
        <v>7.628</v>
      </c>
      <c r="D6" s="49">
        <v>7.764</v>
      </c>
      <c r="E6" s="50">
        <v>7.806</v>
      </c>
      <c r="F6" s="50">
        <v>8.461</v>
      </c>
      <c r="G6" s="50">
        <v>9.674</v>
      </c>
      <c r="H6" s="50">
        <v>8.907</v>
      </c>
      <c r="I6" s="54">
        <v>10.291</v>
      </c>
      <c r="J6" s="54">
        <v>10.062</v>
      </c>
      <c r="K6" s="54">
        <v>10.566</v>
      </c>
      <c r="L6" s="50">
        <v>9.656</v>
      </c>
      <c r="M6" s="51">
        <v>9.868</v>
      </c>
      <c r="N6" s="6">
        <f t="shared" si="0"/>
        <v>105.66</v>
      </c>
    </row>
    <row r="7" customFormat="1" ht="17" customHeight="1" spans="1:14">
      <c r="A7" s="46">
        <v>5</v>
      </c>
      <c r="B7" s="48">
        <v>9.435</v>
      </c>
      <c r="C7" s="47">
        <v>9.825</v>
      </c>
      <c r="D7" s="47">
        <v>9.739</v>
      </c>
      <c r="E7" s="48">
        <v>9.728</v>
      </c>
      <c r="F7" s="48">
        <v>9.376</v>
      </c>
      <c r="G7" s="48">
        <v>9.682</v>
      </c>
      <c r="H7" s="48">
        <v>9.201</v>
      </c>
      <c r="I7" s="53">
        <v>9.733</v>
      </c>
      <c r="J7" s="53">
        <v>9.932</v>
      </c>
      <c r="K7" s="53">
        <v>10.627</v>
      </c>
      <c r="L7" s="48">
        <v>9.695</v>
      </c>
      <c r="M7" s="52">
        <v>10.126</v>
      </c>
      <c r="N7" s="6">
        <f t="shared" si="0"/>
        <v>106.27</v>
      </c>
    </row>
    <row r="8" customFormat="1" ht="17" customHeight="1" spans="1:14">
      <c r="A8" s="46">
        <v>6</v>
      </c>
      <c r="B8" s="51">
        <v>9.4</v>
      </c>
      <c r="C8" s="49">
        <v>9.939</v>
      </c>
      <c r="D8" s="49">
        <v>9.931</v>
      </c>
      <c r="E8" s="50">
        <v>9.702</v>
      </c>
      <c r="F8" s="50">
        <v>9.842</v>
      </c>
      <c r="G8" s="50">
        <v>10.017</v>
      </c>
      <c r="H8" s="50">
        <v>9.021</v>
      </c>
      <c r="I8" s="54">
        <v>9.484</v>
      </c>
      <c r="J8" s="54">
        <v>9.934</v>
      </c>
      <c r="K8" s="54">
        <v>10.482</v>
      </c>
      <c r="L8" s="50">
        <v>9.493</v>
      </c>
      <c r="M8" s="51">
        <v>9.741</v>
      </c>
      <c r="N8" s="6">
        <f t="shared" si="0"/>
        <v>104.82</v>
      </c>
    </row>
    <row r="9" customFormat="1" ht="17" customHeight="1" spans="1:14">
      <c r="A9" s="46">
        <v>7</v>
      </c>
      <c r="B9" s="48">
        <v>9.197</v>
      </c>
      <c r="C9" s="47">
        <v>9.714</v>
      </c>
      <c r="D9" s="47">
        <v>9.722</v>
      </c>
      <c r="E9" s="48">
        <v>9.671</v>
      </c>
      <c r="F9" s="48">
        <v>9.633</v>
      </c>
      <c r="G9" s="48">
        <v>10.229</v>
      </c>
      <c r="H9" s="48">
        <v>9.57</v>
      </c>
      <c r="I9" s="53">
        <v>10.011</v>
      </c>
      <c r="J9" s="53">
        <v>10.184</v>
      </c>
      <c r="K9" s="53">
        <v>10.453</v>
      </c>
      <c r="L9" s="48">
        <v>9.671</v>
      </c>
      <c r="M9" s="52">
        <v>10.021</v>
      </c>
      <c r="N9" s="6">
        <f t="shared" si="0"/>
        <v>104.53</v>
      </c>
    </row>
    <row r="10" customFormat="1" ht="17" customHeight="1" spans="1:14">
      <c r="A10" s="46">
        <v>8</v>
      </c>
      <c r="B10" s="51">
        <v>9.388</v>
      </c>
      <c r="C10" s="50">
        <v>9.735</v>
      </c>
      <c r="D10" s="49">
        <v>9.725</v>
      </c>
      <c r="E10" s="50">
        <v>9.498</v>
      </c>
      <c r="F10" s="50">
        <v>9.341</v>
      </c>
      <c r="G10" s="50">
        <v>9.922</v>
      </c>
      <c r="H10" s="50">
        <v>9.708</v>
      </c>
      <c r="I10" s="54">
        <v>10.417</v>
      </c>
      <c r="J10" s="54">
        <v>10.232</v>
      </c>
      <c r="K10" s="54">
        <v>10.447</v>
      </c>
      <c r="L10" s="50">
        <v>9.652</v>
      </c>
      <c r="M10" s="51">
        <v>9.88</v>
      </c>
      <c r="N10" s="6">
        <f t="shared" si="0"/>
        <v>104.47</v>
      </c>
    </row>
    <row r="11" customFormat="1" ht="17" customHeight="1" spans="1:14">
      <c r="A11" s="46">
        <v>9</v>
      </c>
      <c r="B11" s="47">
        <v>9.2</v>
      </c>
      <c r="C11" s="47">
        <v>9.687</v>
      </c>
      <c r="D11" s="47">
        <v>9.735</v>
      </c>
      <c r="E11" s="47">
        <v>9.699</v>
      </c>
      <c r="F11" s="48">
        <v>9.23</v>
      </c>
      <c r="G11" s="48">
        <v>9.723</v>
      </c>
      <c r="H11" s="48">
        <v>8.868</v>
      </c>
      <c r="I11" s="53">
        <v>9.725</v>
      </c>
      <c r="J11" s="53">
        <v>10.257</v>
      </c>
      <c r="K11" s="53">
        <v>10.325</v>
      </c>
      <c r="L11" s="48">
        <v>9.227</v>
      </c>
      <c r="M11" s="52">
        <v>9.836</v>
      </c>
      <c r="N11" s="6">
        <f t="shared" si="0"/>
        <v>103.25</v>
      </c>
    </row>
    <row r="12" customFormat="1" ht="17" customHeight="1" spans="1:14">
      <c r="A12" s="46">
        <v>10</v>
      </c>
      <c r="B12" s="51">
        <v>9.212</v>
      </c>
      <c r="C12" s="49">
        <v>9.692</v>
      </c>
      <c r="D12" s="49">
        <v>9.6</v>
      </c>
      <c r="E12" s="50">
        <v>9.314</v>
      </c>
      <c r="F12" s="50">
        <v>8.066</v>
      </c>
      <c r="G12" s="50">
        <v>7.973</v>
      </c>
      <c r="H12" s="50">
        <v>7.476</v>
      </c>
      <c r="I12" s="54">
        <v>7.708</v>
      </c>
      <c r="J12" s="54">
        <v>7.943</v>
      </c>
      <c r="K12" s="54">
        <v>8.551</v>
      </c>
      <c r="L12" s="50">
        <v>8.356</v>
      </c>
      <c r="M12" s="51">
        <v>8.67</v>
      </c>
      <c r="N12" s="6">
        <f t="shared" si="0"/>
        <v>96.92</v>
      </c>
    </row>
    <row r="13" customFormat="1" ht="17" customHeight="1" spans="1:14">
      <c r="A13" s="46">
        <v>11</v>
      </c>
      <c r="B13" s="52">
        <v>8.16</v>
      </c>
      <c r="C13" s="47">
        <v>8.648</v>
      </c>
      <c r="D13" s="47">
        <v>8.96</v>
      </c>
      <c r="E13" s="48">
        <v>8.93</v>
      </c>
      <c r="F13" s="48">
        <v>9.559</v>
      </c>
      <c r="G13" s="48">
        <v>9.902</v>
      </c>
      <c r="H13" s="48">
        <v>8.922</v>
      </c>
      <c r="I13" s="53">
        <v>9.275</v>
      </c>
      <c r="J13" s="53">
        <v>9.851</v>
      </c>
      <c r="K13" s="53">
        <v>10.509</v>
      </c>
      <c r="L13" s="48">
        <v>9.518</v>
      </c>
      <c r="M13" s="52">
        <v>9.818</v>
      </c>
      <c r="N13" s="6">
        <f t="shared" si="0"/>
        <v>105.09</v>
      </c>
    </row>
    <row r="14" customFormat="1" ht="17" customHeight="1" spans="1:14">
      <c r="A14" s="46">
        <v>12</v>
      </c>
      <c r="B14" s="51">
        <v>9.348</v>
      </c>
      <c r="C14" s="49">
        <v>9.624</v>
      </c>
      <c r="D14" s="49">
        <v>9.568</v>
      </c>
      <c r="E14" s="50">
        <v>9.489</v>
      </c>
      <c r="F14" s="50">
        <v>9.47</v>
      </c>
      <c r="G14" s="50">
        <v>9.842</v>
      </c>
      <c r="H14" s="50">
        <v>8.911</v>
      </c>
      <c r="I14" s="54">
        <v>9.496</v>
      </c>
      <c r="J14" s="54">
        <v>10.049</v>
      </c>
      <c r="K14" s="54">
        <v>10.608</v>
      </c>
      <c r="L14" s="50">
        <v>9.82</v>
      </c>
      <c r="M14" s="51">
        <v>10.106</v>
      </c>
      <c r="N14" s="6">
        <f t="shared" si="0"/>
        <v>106.08</v>
      </c>
    </row>
    <row r="15" customFormat="1" ht="17" customHeight="1" spans="1:14">
      <c r="A15" s="46">
        <v>13</v>
      </c>
      <c r="B15" s="48">
        <v>9.52</v>
      </c>
      <c r="C15" s="47">
        <v>9.896</v>
      </c>
      <c r="D15" s="47">
        <v>9.758</v>
      </c>
      <c r="E15" s="48">
        <v>9.704</v>
      </c>
      <c r="F15" s="48">
        <v>9.624</v>
      </c>
      <c r="G15" s="48">
        <v>10.069</v>
      </c>
      <c r="H15" s="48">
        <v>9.872</v>
      </c>
      <c r="I15" s="53">
        <v>9.736</v>
      </c>
      <c r="J15" s="53">
        <v>10.535</v>
      </c>
      <c r="K15" s="53">
        <v>10.391</v>
      </c>
      <c r="L15" s="48">
        <v>9.428</v>
      </c>
      <c r="M15" s="52">
        <v>9.728</v>
      </c>
      <c r="N15" s="6">
        <f t="shared" si="0"/>
        <v>105.35</v>
      </c>
    </row>
    <row r="16" customFormat="1" ht="17" customHeight="1" spans="1:14">
      <c r="A16" s="46">
        <v>14</v>
      </c>
      <c r="B16" s="51">
        <v>9.398</v>
      </c>
      <c r="C16" s="49">
        <v>9.708</v>
      </c>
      <c r="D16" s="49">
        <v>9.777</v>
      </c>
      <c r="E16" s="50">
        <v>9.617</v>
      </c>
      <c r="F16" s="50">
        <v>9.726</v>
      </c>
      <c r="G16" s="50">
        <v>10.295</v>
      </c>
      <c r="H16" s="50">
        <v>9.266</v>
      </c>
      <c r="I16" s="54">
        <v>9.981</v>
      </c>
      <c r="J16" s="54">
        <v>10.345</v>
      </c>
      <c r="K16" s="54">
        <v>10.456</v>
      </c>
      <c r="L16" s="50">
        <v>9.581</v>
      </c>
      <c r="M16" s="51">
        <v>9.69</v>
      </c>
      <c r="N16" s="6">
        <f t="shared" si="0"/>
        <v>104.56</v>
      </c>
    </row>
    <row r="17" customFormat="1" ht="17" customHeight="1" spans="1:14">
      <c r="A17" s="46">
        <v>15</v>
      </c>
      <c r="B17" s="52">
        <v>9.277</v>
      </c>
      <c r="C17" s="47">
        <v>9.754</v>
      </c>
      <c r="D17" s="47">
        <v>9.744</v>
      </c>
      <c r="E17" s="48">
        <v>9.466</v>
      </c>
      <c r="F17" s="48">
        <v>9.295</v>
      </c>
      <c r="G17" s="48">
        <v>9.699</v>
      </c>
      <c r="H17" s="48">
        <v>8.721</v>
      </c>
      <c r="I17" s="53">
        <v>9.482</v>
      </c>
      <c r="J17" s="53">
        <v>10.18</v>
      </c>
      <c r="K17" s="53">
        <v>10.185</v>
      </c>
      <c r="L17" s="48">
        <v>9.494</v>
      </c>
      <c r="M17" s="52">
        <v>9.617</v>
      </c>
      <c r="N17" s="6">
        <f t="shared" si="0"/>
        <v>101.85</v>
      </c>
    </row>
    <row r="18" customFormat="1" ht="17" customHeight="1" spans="1:14">
      <c r="A18" s="46">
        <v>16</v>
      </c>
      <c r="B18" s="51">
        <v>9.051</v>
      </c>
      <c r="C18" s="49">
        <v>9.606</v>
      </c>
      <c r="D18" s="49">
        <v>9.611</v>
      </c>
      <c r="E18" s="49">
        <v>9.322</v>
      </c>
      <c r="F18" s="50">
        <v>8.794</v>
      </c>
      <c r="G18" s="50">
        <v>9.407</v>
      </c>
      <c r="H18" s="50">
        <v>8.709</v>
      </c>
      <c r="I18" s="54">
        <v>9.492</v>
      </c>
      <c r="J18" s="54">
        <v>10.202</v>
      </c>
      <c r="K18" s="54">
        <v>10.152</v>
      </c>
      <c r="L18" s="50">
        <v>9.282</v>
      </c>
      <c r="M18" s="51">
        <v>9.602</v>
      </c>
      <c r="N18" s="6">
        <f t="shared" si="0"/>
        <v>102.02</v>
      </c>
    </row>
    <row r="19" customFormat="1" ht="17" customHeight="1" spans="1:14">
      <c r="A19" s="46">
        <v>17</v>
      </c>
      <c r="B19" s="52">
        <v>9.041</v>
      </c>
      <c r="C19" s="47">
        <v>9.34</v>
      </c>
      <c r="D19" s="47">
        <v>9.294</v>
      </c>
      <c r="E19" s="48">
        <v>8.93</v>
      </c>
      <c r="F19" s="48">
        <v>7.212</v>
      </c>
      <c r="G19" s="48">
        <v>6.68</v>
      </c>
      <c r="H19" s="48">
        <v>6.451</v>
      </c>
      <c r="I19" s="53">
        <v>6.319</v>
      </c>
      <c r="J19" s="53">
        <v>6.637</v>
      </c>
      <c r="K19" s="53">
        <v>7.363</v>
      </c>
      <c r="L19" s="48">
        <v>7.407</v>
      </c>
      <c r="M19" s="52">
        <v>7.973</v>
      </c>
      <c r="N19" s="6">
        <f t="shared" si="0"/>
        <v>93.4</v>
      </c>
    </row>
    <row r="20" customFormat="1" ht="17" customHeight="1" spans="1:14">
      <c r="A20" s="46">
        <v>18</v>
      </c>
      <c r="B20" s="51">
        <v>7.692</v>
      </c>
      <c r="C20" s="49">
        <v>7.912</v>
      </c>
      <c r="D20" s="49">
        <v>8.154</v>
      </c>
      <c r="E20" s="49">
        <v>8.213</v>
      </c>
      <c r="F20" s="50">
        <v>8.497</v>
      </c>
      <c r="G20" s="50">
        <v>9.37</v>
      </c>
      <c r="H20" s="50">
        <v>8.978</v>
      </c>
      <c r="I20" s="54">
        <v>9.405</v>
      </c>
      <c r="J20" s="54">
        <v>10.447</v>
      </c>
      <c r="K20" s="54">
        <v>10.308</v>
      </c>
      <c r="L20" s="50">
        <v>9.49</v>
      </c>
      <c r="M20" s="51">
        <v>9.787</v>
      </c>
      <c r="N20" s="6">
        <f t="shared" si="0"/>
        <v>104.47</v>
      </c>
    </row>
    <row r="21" customFormat="1" ht="17" customHeight="1" spans="1:14">
      <c r="A21" s="46">
        <v>19</v>
      </c>
      <c r="B21" s="52">
        <v>9.301</v>
      </c>
      <c r="C21" s="47">
        <v>9.728</v>
      </c>
      <c r="D21" s="47">
        <v>9.798</v>
      </c>
      <c r="E21" s="48">
        <v>9.658</v>
      </c>
      <c r="F21" s="48">
        <v>9.38</v>
      </c>
      <c r="G21" s="48">
        <v>9.729</v>
      </c>
      <c r="H21" s="48">
        <v>9.34</v>
      </c>
      <c r="I21" s="53">
        <v>9.76</v>
      </c>
      <c r="J21" s="53">
        <v>9.935</v>
      </c>
      <c r="K21" s="53">
        <v>10.482</v>
      </c>
      <c r="L21" s="48">
        <v>9.637</v>
      </c>
      <c r="M21" s="52">
        <v>10.012</v>
      </c>
      <c r="N21" s="6">
        <f t="shared" si="0"/>
        <v>104.82</v>
      </c>
    </row>
    <row r="22" customFormat="1" ht="17" customHeight="1" spans="1:14">
      <c r="A22" s="46">
        <v>20</v>
      </c>
      <c r="B22" s="51">
        <v>9.468</v>
      </c>
      <c r="C22" s="49">
        <v>9.753</v>
      </c>
      <c r="D22" s="49">
        <v>9.741</v>
      </c>
      <c r="E22" s="50">
        <v>9.62</v>
      </c>
      <c r="F22" s="50">
        <v>9.42</v>
      </c>
      <c r="G22" s="50">
        <v>9.592</v>
      </c>
      <c r="H22" s="50">
        <v>8.992</v>
      </c>
      <c r="I22" s="54">
        <v>9.877</v>
      </c>
      <c r="J22" s="54">
        <v>9.951</v>
      </c>
      <c r="K22" s="54">
        <v>10.544</v>
      </c>
      <c r="L22" s="50">
        <v>9.531</v>
      </c>
      <c r="M22" s="51">
        <v>9.88</v>
      </c>
      <c r="N22" s="6">
        <f t="shared" si="0"/>
        <v>105.44</v>
      </c>
    </row>
    <row r="23" customFormat="1" ht="17" customHeight="1" spans="1:14">
      <c r="A23" s="46">
        <v>21</v>
      </c>
      <c r="B23" s="52">
        <v>9.762</v>
      </c>
      <c r="C23" s="47">
        <v>9.811</v>
      </c>
      <c r="D23" s="47">
        <v>9.799</v>
      </c>
      <c r="E23" s="48">
        <v>9.737</v>
      </c>
      <c r="F23" s="48">
        <v>9.644</v>
      </c>
      <c r="G23" s="48">
        <v>10.318</v>
      </c>
      <c r="H23" s="48">
        <v>8.868</v>
      </c>
      <c r="I23" s="53">
        <v>9.356</v>
      </c>
      <c r="J23" s="53">
        <v>10.212</v>
      </c>
      <c r="K23" s="53">
        <v>10.561</v>
      </c>
      <c r="L23" s="48">
        <v>9.72</v>
      </c>
      <c r="M23" s="52">
        <v>9.741</v>
      </c>
      <c r="N23" s="6">
        <f t="shared" si="0"/>
        <v>105.61</v>
      </c>
    </row>
    <row r="24" customFormat="1" ht="17" customHeight="1" spans="1:14">
      <c r="A24" s="46">
        <v>22</v>
      </c>
      <c r="B24" s="51">
        <v>9.311</v>
      </c>
      <c r="C24" s="49">
        <v>9.811</v>
      </c>
      <c r="D24" s="49">
        <v>9.809</v>
      </c>
      <c r="E24" s="50">
        <v>9.626</v>
      </c>
      <c r="F24" s="50">
        <v>9.24</v>
      </c>
      <c r="G24" s="50">
        <v>9.879</v>
      </c>
      <c r="H24" s="50">
        <v>9.359</v>
      </c>
      <c r="I24" s="54">
        <v>9.897</v>
      </c>
      <c r="J24" s="54">
        <v>10.218</v>
      </c>
      <c r="K24" s="54">
        <v>10.254</v>
      </c>
      <c r="L24" s="50">
        <v>9.438</v>
      </c>
      <c r="M24" s="51">
        <v>9.636</v>
      </c>
      <c r="N24" s="6">
        <f t="shared" si="0"/>
        <v>102.54</v>
      </c>
    </row>
    <row r="25" customFormat="1" ht="17" customHeight="1" spans="1:14">
      <c r="A25" s="46">
        <v>23</v>
      </c>
      <c r="B25" s="52">
        <v>9.396</v>
      </c>
      <c r="C25" s="47">
        <v>9.689</v>
      </c>
      <c r="D25" s="47">
        <v>9.678</v>
      </c>
      <c r="E25" s="48">
        <v>9.355</v>
      </c>
      <c r="F25" s="48">
        <v>9.02</v>
      </c>
      <c r="G25" s="48">
        <v>9.1</v>
      </c>
      <c r="H25" s="48">
        <v>9.148</v>
      </c>
      <c r="I25" s="53">
        <v>8.635</v>
      </c>
      <c r="J25" s="53">
        <v>9.243</v>
      </c>
      <c r="K25" s="53">
        <v>9.742</v>
      </c>
      <c r="L25" s="48">
        <v>8.984</v>
      </c>
      <c r="M25" s="52">
        <v>9.521</v>
      </c>
      <c r="N25" s="6">
        <f t="shared" si="0"/>
        <v>97.42</v>
      </c>
    </row>
    <row r="26" customFormat="1" ht="17" customHeight="1" spans="1:14">
      <c r="A26" s="46">
        <v>24</v>
      </c>
      <c r="B26" s="51">
        <v>9.238</v>
      </c>
      <c r="C26" s="49">
        <v>9.421</v>
      </c>
      <c r="D26" s="49">
        <v>9.431</v>
      </c>
      <c r="E26" s="49">
        <v>9.071</v>
      </c>
      <c r="F26" s="50">
        <v>7.644</v>
      </c>
      <c r="G26" s="50">
        <v>7.118</v>
      </c>
      <c r="H26" s="50">
        <v>6.838</v>
      </c>
      <c r="I26" s="54">
        <v>7.472</v>
      </c>
      <c r="J26" s="54">
        <v>7.459</v>
      </c>
      <c r="K26" s="54">
        <v>7.828</v>
      </c>
      <c r="L26" s="50">
        <v>7.572</v>
      </c>
      <c r="M26" s="51">
        <v>8.901</v>
      </c>
      <c r="N26" s="6">
        <f t="shared" si="0"/>
        <v>94.31</v>
      </c>
    </row>
    <row r="27" customFormat="1" ht="17" customHeight="1" spans="1:14">
      <c r="A27" s="46">
        <v>25</v>
      </c>
      <c r="B27" s="52">
        <v>7.543</v>
      </c>
      <c r="C27" s="47">
        <v>8.394</v>
      </c>
      <c r="D27" s="47">
        <v>7.992</v>
      </c>
      <c r="E27" s="48">
        <v>8.273</v>
      </c>
      <c r="F27" s="48">
        <v>8.359</v>
      </c>
      <c r="G27" s="48">
        <v>9.395</v>
      </c>
      <c r="H27" s="48">
        <v>8.972</v>
      </c>
      <c r="I27" s="53">
        <v>9.869</v>
      </c>
      <c r="J27" s="53">
        <v>10.578</v>
      </c>
      <c r="K27" s="53">
        <v>10.253</v>
      </c>
      <c r="L27" s="48">
        <v>9.538</v>
      </c>
      <c r="M27" s="52">
        <v>9.826</v>
      </c>
      <c r="N27" s="6">
        <f t="shared" si="0"/>
        <v>105.78</v>
      </c>
    </row>
    <row r="28" customFormat="1" ht="17" customHeight="1" spans="1:14">
      <c r="A28" s="46">
        <v>26</v>
      </c>
      <c r="B28" s="51">
        <v>9.015</v>
      </c>
      <c r="C28" s="49">
        <v>9.587</v>
      </c>
      <c r="D28" s="49">
        <v>9.495</v>
      </c>
      <c r="E28" s="50">
        <v>9.435</v>
      </c>
      <c r="F28" s="50">
        <v>9.011</v>
      </c>
      <c r="G28" s="50">
        <v>9.586</v>
      </c>
      <c r="H28" s="50">
        <v>8.969</v>
      </c>
      <c r="I28" s="54">
        <v>9.468</v>
      </c>
      <c r="J28" s="54">
        <v>9.915</v>
      </c>
      <c r="K28" s="54">
        <v>10.256</v>
      </c>
      <c r="L28" s="50">
        <v>9.598</v>
      </c>
      <c r="M28" s="51">
        <v>9.934</v>
      </c>
      <c r="N28" s="6">
        <f t="shared" si="0"/>
        <v>102.56</v>
      </c>
    </row>
    <row r="29" customFormat="1" ht="17" customHeight="1" spans="1:14">
      <c r="A29" s="46">
        <v>27</v>
      </c>
      <c r="B29" s="48">
        <v>9.415</v>
      </c>
      <c r="C29" s="47">
        <v>9.663</v>
      </c>
      <c r="D29" s="47">
        <v>9.671</v>
      </c>
      <c r="E29" s="48">
        <v>9.592</v>
      </c>
      <c r="F29" s="48">
        <v>9.126</v>
      </c>
      <c r="G29" s="48">
        <v>9.744</v>
      </c>
      <c r="H29" s="48">
        <v>8.792</v>
      </c>
      <c r="I29" s="53">
        <v>10.294</v>
      </c>
      <c r="J29" s="53">
        <v>10.229</v>
      </c>
      <c r="K29" s="53">
        <v>10.229</v>
      </c>
      <c r="L29" s="48">
        <v>9.532</v>
      </c>
      <c r="M29" s="52">
        <v>9.719</v>
      </c>
      <c r="N29" s="6">
        <f t="shared" si="0"/>
        <v>102.94</v>
      </c>
    </row>
    <row r="30" customFormat="1" ht="17" customHeight="1" spans="1:14">
      <c r="A30" s="46">
        <v>28</v>
      </c>
      <c r="B30" s="51">
        <v>9.341</v>
      </c>
      <c r="C30" s="49">
        <v>9.711</v>
      </c>
      <c r="D30" s="49">
        <v>9.698</v>
      </c>
      <c r="E30" s="50">
        <v>9.462</v>
      </c>
      <c r="F30" s="50">
        <v>9.179</v>
      </c>
      <c r="G30" s="50">
        <v>9.54</v>
      </c>
      <c r="H30" s="50">
        <v>8.85</v>
      </c>
      <c r="I30" s="54">
        <v>10.042</v>
      </c>
      <c r="J30" s="54">
        <v>10.349</v>
      </c>
      <c r="K30" s="54">
        <v>10.488</v>
      </c>
      <c r="L30" s="50">
        <v>9.407</v>
      </c>
      <c r="M30" s="51">
        <v>9.877</v>
      </c>
      <c r="N30" s="6">
        <f t="shared" si="0"/>
        <v>104.88</v>
      </c>
    </row>
    <row r="31" customFormat="1" ht="17" customHeight="1" spans="1:14">
      <c r="A31" s="46">
        <v>29</v>
      </c>
      <c r="B31" s="52">
        <v>9.408</v>
      </c>
      <c r="C31" s="47">
        <v>9.722</v>
      </c>
      <c r="D31" s="47">
        <v>9.731</v>
      </c>
      <c r="E31" s="47">
        <v>9.556</v>
      </c>
      <c r="F31" s="48">
        <v>9.227</v>
      </c>
      <c r="G31" s="48">
        <v>9.505</v>
      </c>
      <c r="H31" s="48">
        <v>8.851</v>
      </c>
      <c r="I31" s="53">
        <v>9.703</v>
      </c>
      <c r="J31" s="53">
        <v>9.842</v>
      </c>
      <c r="K31" s="53">
        <v>10.274</v>
      </c>
      <c r="L31" s="48">
        <v>9.593</v>
      </c>
      <c r="M31" s="52">
        <v>9.89</v>
      </c>
      <c r="N31" s="6">
        <f t="shared" si="0"/>
        <v>102.74</v>
      </c>
    </row>
    <row r="32" customFormat="1" ht="17" customHeight="1" spans="1:14">
      <c r="A32" s="46">
        <v>30</v>
      </c>
      <c r="B32" s="51">
        <v>9.414</v>
      </c>
      <c r="C32" s="49">
        <v>9.691</v>
      </c>
      <c r="D32" s="49">
        <v>9.695</v>
      </c>
      <c r="E32" s="49">
        <v>9.434</v>
      </c>
      <c r="F32" s="50">
        <v>8.763</v>
      </c>
      <c r="G32" s="50">
        <v>8.777</v>
      </c>
      <c r="H32" s="50">
        <v>8.054</v>
      </c>
      <c r="I32" s="54">
        <v>9.38</v>
      </c>
      <c r="J32" s="54">
        <v>9.338</v>
      </c>
      <c r="K32" s="54">
        <v>8.877</v>
      </c>
      <c r="L32" s="50">
        <v>8.361</v>
      </c>
      <c r="M32" s="51">
        <v>8.67</v>
      </c>
      <c r="N32" s="6">
        <f t="shared" si="0"/>
        <v>96.95</v>
      </c>
    </row>
    <row r="33" customFormat="1" ht="16.5" spans="1:14">
      <c r="A33" s="46">
        <v>31</v>
      </c>
      <c r="B33" s="52">
        <v>8.456</v>
      </c>
      <c r="C33" s="47">
        <v>8.452</v>
      </c>
      <c r="D33" s="47">
        <v>8.461</v>
      </c>
      <c r="E33" s="47">
        <v>7.725</v>
      </c>
      <c r="F33" s="48">
        <v>5.594</v>
      </c>
      <c r="G33" s="48">
        <v>4.15</v>
      </c>
      <c r="H33" s="48">
        <v>4.549</v>
      </c>
      <c r="I33" s="53">
        <v>4.138</v>
      </c>
      <c r="J33" s="53">
        <v>4.203</v>
      </c>
      <c r="K33" s="53">
        <v>5.201</v>
      </c>
      <c r="L33" s="48">
        <v>5.331</v>
      </c>
      <c r="M33" s="52">
        <v>5.907</v>
      </c>
      <c r="N33" s="6">
        <f t="shared" si="0"/>
        <v>84.61</v>
      </c>
    </row>
  </sheetData>
  <mergeCells count="1">
    <mergeCell ref="A1:M1"/>
  </mergeCells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"/>
  <sheetViews>
    <sheetView workbookViewId="0">
      <selection activeCell="N4" sqref="N4"/>
    </sheetView>
  </sheetViews>
  <sheetFormatPr defaultColWidth="9" defaultRowHeight="13.5"/>
  <cols>
    <col min="7" max="7" width="9.25"/>
    <col min="13" max="13" width="9.25"/>
    <col min="14" max="14" width="9" style="55"/>
  </cols>
  <sheetData>
    <row r="1" customFormat="1" ht="26" customHeight="1" spans="1:14">
      <c r="A1" s="42" t="s">
        <v>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55"/>
    </row>
    <row r="2" customFormat="1" ht="24" customHeight="1" spans="1:14">
      <c r="A2" s="44" t="s">
        <v>2</v>
      </c>
      <c r="B2" s="45">
        <v>0</v>
      </c>
      <c r="C2" s="45">
        <v>0.0833333333333333</v>
      </c>
      <c r="D2" s="45">
        <v>0.166666666666667</v>
      </c>
      <c r="E2" s="45">
        <v>0.25</v>
      </c>
      <c r="F2" s="45">
        <v>0.333333333333333</v>
      </c>
      <c r="G2" s="45">
        <v>0.416666666666667</v>
      </c>
      <c r="H2" s="45">
        <v>0.5</v>
      </c>
      <c r="I2" s="45">
        <v>0.583333333333333</v>
      </c>
      <c r="J2" s="45">
        <v>0.666666666666667</v>
      </c>
      <c r="K2" s="45">
        <v>0.75</v>
      </c>
      <c r="L2" s="45">
        <v>0.833333333333333</v>
      </c>
      <c r="M2" s="45">
        <v>0.916666666666667</v>
      </c>
      <c r="N2" s="6" t="s">
        <v>3</v>
      </c>
    </row>
    <row r="3" customFormat="1" ht="17" customHeight="1" spans="1:14">
      <c r="A3" s="46">
        <v>1</v>
      </c>
      <c r="B3" s="47">
        <v>6.052</v>
      </c>
      <c r="C3" s="47">
        <v>6.216</v>
      </c>
      <c r="D3" s="47">
        <v>6.326</v>
      </c>
      <c r="E3" s="48">
        <v>6.538</v>
      </c>
      <c r="F3" s="48">
        <v>8.221</v>
      </c>
      <c r="G3" s="48">
        <v>9.11</v>
      </c>
      <c r="H3" s="48">
        <v>9.169</v>
      </c>
      <c r="I3" s="53">
        <v>9.351</v>
      </c>
      <c r="J3" s="53">
        <v>10.304</v>
      </c>
      <c r="K3" s="53">
        <v>10.395</v>
      </c>
      <c r="L3" s="48">
        <v>9.501</v>
      </c>
      <c r="M3" s="48">
        <v>9.935</v>
      </c>
      <c r="N3" s="6">
        <f t="shared" ref="N3:N32" si="0">MAX(B3:M3)*10</f>
        <v>103.95</v>
      </c>
    </row>
    <row r="4" customFormat="1" ht="17" customHeight="1" spans="1:14">
      <c r="A4" s="46">
        <v>2</v>
      </c>
      <c r="B4" s="49">
        <v>9.371</v>
      </c>
      <c r="C4" s="49">
        <v>9.702</v>
      </c>
      <c r="D4" s="49">
        <v>9.581</v>
      </c>
      <c r="E4" s="50">
        <v>9.452</v>
      </c>
      <c r="F4" s="50">
        <v>9.076</v>
      </c>
      <c r="G4" s="50">
        <v>9.448</v>
      </c>
      <c r="H4" s="50">
        <v>8.932</v>
      </c>
      <c r="I4" s="54">
        <v>10.268</v>
      </c>
      <c r="J4" s="54">
        <v>9.867</v>
      </c>
      <c r="K4" s="54">
        <v>10.364</v>
      </c>
      <c r="L4" s="50">
        <v>9.752</v>
      </c>
      <c r="M4" s="51">
        <v>10.134</v>
      </c>
      <c r="N4" s="6">
        <f t="shared" si="0"/>
        <v>103.64</v>
      </c>
    </row>
    <row r="5" customFormat="1" ht="17" customHeight="1" spans="1:14">
      <c r="A5" s="46">
        <v>3</v>
      </c>
      <c r="B5" s="48">
        <v>9.545</v>
      </c>
      <c r="C5" s="47">
        <v>9.759</v>
      </c>
      <c r="D5" s="47">
        <v>9.881</v>
      </c>
      <c r="E5" s="48">
        <v>9.763</v>
      </c>
      <c r="F5" s="48">
        <v>9.473</v>
      </c>
      <c r="G5" s="48">
        <v>9.811</v>
      </c>
      <c r="H5" s="48">
        <v>9.184</v>
      </c>
      <c r="I5" s="53">
        <v>9.55</v>
      </c>
      <c r="J5" s="53">
        <v>9.69</v>
      </c>
      <c r="K5" s="53">
        <v>10.634</v>
      </c>
      <c r="L5" s="48">
        <v>9.747</v>
      </c>
      <c r="M5" s="52">
        <v>10.046</v>
      </c>
      <c r="N5" s="6">
        <f t="shared" si="0"/>
        <v>106.34</v>
      </c>
    </row>
    <row r="6" customFormat="1" ht="17" customHeight="1" spans="1:14">
      <c r="A6" s="46">
        <v>4</v>
      </c>
      <c r="B6" s="50">
        <v>9.616</v>
      </c>
      <c r="C6" s="49">
        <v>9.914</v>
      </c>
      <c r="D6" s="49">
        <v>10.015</v>
      </c>
      <c r="E6" s="50">
        <v>9.853</v>
      </c>
      <c r="F6" s="50">
        <v>9.41</v>
      </c>
      <c r="G6" s="50">
        <v>9.833</v>
      </c>
      <c r="H6" s="50">
        <v>9.381</v>
      </c>
      <c r="I6" s="54">
        <v>10.067</v>
      </c>
      <c r="J6" s="54">
        <v>10.464</v>
      </c>
      <c r="K6" s="54">
        <v>10.543</v>
      </c>
      <c r="L6" s="50">
        <v>9.894</v>
      </c>
      <c r="M6" s="51">
        <v>10.282</v>
      </c>
      <c r="N6" s="6">
        <f t="shared" si="0"/>
        <v>105.43</v>
      </c>
    </row>
    <row r="7" customFormat="1" ht="17" customHeight="1" spans="1:14">
      <c r="A7" s="46">
        <v>5</v>
      </c>
      <c r="B7" s="48">
        <v>9.877</v>
      </c>
      <c r="C7" s="47">
        <v>9.991</v>
      </c>
      <c r="D7" s="47">
        <v>10.072</v>
      </c>
      <c r="E7" s="48">
        <v>9.937</v>
      </c>
      <c r="F7" s="48">
        <v>9.788</v>
      </c>
      <c r="G7" s="48">
        <v>10.14</v>
      </c>
      <c r="H7" s="48">
        <v>9.451</v>
      </c>
      <c r="I7" s="53">
        <v>10.223</v>
      </c>
      <c r="J7" s="53">
        <v>10.975</v>
      </c>
      <c r="K7" s="53">
        <v>10.47</v>
      </c>
      <c r="L7" s="48">
        <v>9.878</v>
      </c>
      <c r="M7" s="52">
        <v>10.362</v>
      </c>
      <c r="N7" s="6">
        <f t="shared" si="0"/>
        <v>109.75</v>
      </c>
    </row>
    <row r="8" customFormat="1" ht="17" customHeight="1" spans="1:14">
      <c r="A8" s="46">
        <v>6</v>
      </c>
      <c r="B8" s="51">
        <v>9.972</v>
      </c>
      <c r="C8" s="49">
        <v>10.101</v>
      </c>
      <c r="D8" s="49">
        <v>10.177</v>
      </c>
      <c r="E8" s="50">
        <v>10.016</v>
      </c>
      <c r="F8" s="50">
        <v>9.632</v>
      </c>
      <c r="G8" s="50">
        <v>10.088</v>
      </c>
      <c r="H8" s="50">
        <v>9.59</v>
      </c>
      <c r="I8" s="54">
        <v>9.887</v>
      </c>
      <c r="J8" s="54">
        <v>10.9</v>
      </c>
      <c r="K8" s="54">
        <v>10.513</v>
      </c>
      <c r="L8" s="50">
        <v>9.606</v>
      </c>
      <c r="M8" s="51">
        <v>10.017</v>
      </c>
      <c r="N8" s="6">
        <f t="shared" si="0"/>
        <v>109</v>
      </c>
    </row>
    <row r="9" customFormat="1" ht="17" customHeight="1" spans="1:14">
      <c r="A9" s="46">
        <v>7</v>
      </c>
      <c r="B9" s="48">
        <v>9.608</v>
      </c>
      <c r="C9" s="47">
        <v>9.795</v>
      </c>
      <c r="D9" s="47">
        <v>9.637</v>
      </c>
      <c r="E9" s="48">
        <v>9.451</v>
      </c>
      <c r="F9" s="48">
        <v>8.037</v>
      </c>
      <c r="G9" s="48">
        <v>7.454</v>
      </c>
      <c r="H9" s="48">
        <v>7.556</v>
      </c>
      <c r="I9" s="53">
        <v>7.909</v>
      </c>
      <c r="J9" s="53">
        <v>7.804</v>
      </c>
      <c r="K9" s="53">
        <v>8.317</v>
      </c>
      <c r="L9" s="48">
        <v>8.09</v>
      </c>
      <c r="M9" s="52">
        <v>8.513</v>
      </c>
      <c r="N9" s="6">
        <f t="shared" si="0"/>
        <v>97.95</v>
      </c>
    </row>
    <row r="10" customFormat="1" ht="17" customHeight="1" spans="1:14">
      <c r="A10" s="46">
        <v>8</v>
      </c>
      <c r="B10" s="51">
        <v>8.139</v>
      </c>
      <c r="C10" s="50">
        <v>8.313</v>
      </c>
      <c r="D10" s="49">
        <v>8.357</v>
      </c>
      <c r="E10" s="50">
        <v>8.545</v>
      </c>
      <c r="F10" s="50">
        <v>8.909</v>
      </c>
      <c r="G10" s="50">
        <v>9.739</v>
      </c>
      <c r="H10" s="50">
        <v>9.258</v>
      </c>
      <c r="I10" s="54">
        <v>10.932</v>
      </c>
      <c r="J10" s="54">
        <v>10.936</v>
      </c>
      <c r="K10" s="54">
        <v>10.548</v>
      </c>
      <c r="L10" s="50">
        <v>9.76</v>
      </c>
      <c r="M10" s="51">
        <v>10.133</v>
      </c>
      <c r="N10" s="6">
        <f t="shared" si="0"/>
        <v>109.36</v>
      </c>
    </row>
    <row r="11" customFormat="1" ht="17" customHeight="1" spans="1:14">
      <c r="A11" s="46">
        <v>9</v>
      </c>
      <c r="B11" s="47">
        <v>9.619</v>
      </c>
      <c r="C11" s="47">
        <v>10.03</v>
      </c>
      <c r="D11" s="47">
        <v>10.083</v>
      </c>
      <c r="E11" s="47">
        <v>9.793</v>
      </c>
      <c r="F11" s="48">
        <v>9.632</v>
      </c>
      <c r="G11" s="48">
        <v>10.185</v>
      </c>
      <c r="H11" s="48">
        <v>9.473</v>
      </c>
      <c r="I11" s="53">
        <v>10.607</v>
      </c>
      <c r="J11" s="53">
        <v>10.74</v>
      </c>
      <c r="K11" s="53">
        <v>10.733</v>
      </c>
      <c r="L11" s="48">
        <v>9.785</v>
      </c>
      <c r="M11" s="52">
        <v>10.032</v>
      </c>
      <c r="N11" s="6">
        <f t="shared" si="0"/>
        <v>107.4</v>
      </c>
    </row>
    <row r="12" customFormat="1" ht="17" customHeight="1" spans="1:14">
      <c r="A12" s="46">
        <v>10</v>
      </c>
      <c r="B12" s="51">
        <v>9.569</v>
      </c>
      <c r="C12" s="49">
        <v>9.949</v>
      </c>
      <c r="D12" s="49">
        <v>9.915</v>
      </c>
      <c r="E12" s="50">
        <v>9.8</v>
      </c>
      <c r="F12" s="50">
        <v>9.885</v>
      </c>
      <c r="G12" s="50">
        <v>10.283</v>
      </c>
      <c r="H12" s="50">
        <v>9.626</v>
      </c>
      <c r="I12" s="54">
        <v>10.282</v>
      </c>
      <c r="J12" s="54">
        <v>10.645</v>
      </c>
      <c r="K12" s="54">
        <v>10.791</v>
      </c>
      <c r="L12" s="50">
        <v>9.739</v>
      </c>
      <c r="M12" s="51">
        <v>10.19</v>
      </c>
      <c r="N12" s="6">
        <f t="shared" si="0"/>
        <v>107.91</v>
      </c>
    </row>
    <row r="13" customFormat="1" ht="17" customHeight="1" spans="1:14">
      <c r="A13" s="46">
        <v>11</v>
      </c>
      <c r="B13" s="52">
        <v>9.785</v>
      </c>
      <c r="C13" s="47">
        <v>10.015</v>
      </c>
      <c r="D13" s="47">
        <v>10.096</v>
      </c>
      <c r="E13" s="48">
        <v>9.871</v>
      </c>
      <c r="F13" s="48">
        <v>9.422</v>
      </c>
      <c r="G13" s="48">
        <v>9.983</v>
      </c>
      <c r="H13" s="48">
        <v>9.574</v>
      </c>
      <c r="I13" s="53">
        <v>9.734</v>
      </c>
      <c r="J13" s="53">
        <v>10.237</v>
      </c>
      <c r="K13" s="53">
        <v>10.693</v>
      </c>
      <c r="L13" s="48">
        <v>9.968</v>
      </c>
      <c r="M13" s="52">
        <v>10.377</v>
      </c>
      <c r="N13" s="6">
        <f t="shared" si="0"/>
        <v>106.93</v>
      </c>
    </row>
    <row r="14" customFormat="1" ht="17" customHeight="1" spans="1:14">
      <c r="A14" s="46">
        <v>12</v>
      </c>
      <c r="B14" s="51">
        <v>9.866</v>
      </c>
      <c r="C14" s="49">
        <v>10.068</v>
      </c>
      <c r="D14" s="49">
        <v>9.979</v>
      </c>
      <c r="E14" s="50">
        <v>9.919</v>
      </c>
      <c r="F14" s="50">
        <v>9.605</v>
      </c>
      <c r="G14" s="50">
        <v>10.021</v>
      </c>
      <c r="H14" s="50">
        <v>9.777</v>
      </c>
      <c r="I14" s="54">
        <v>9.71</v>
      </c>
      <c r="J14" s="54">
        <v>10.864</v>
      </c>
      <c r="K14" s="54">
        <v>10.508</v>
      </c>
      <c r="L14" s="50">
        <v>9.82</v>
      </c>
      <c r="M14" s="51">
        <v>10.214</v>
      </c>
      <c r="N14" s="6">
        <f t="shared" si="0"/>
        <v>108.64</v>
      </c>
    </row>
    <row r="15" customFormat="1" ht="17" customHeight="1" spans="1:14">
      <c r="A15" s="46">
        <v>13</v>
      </c>
      <c r="B15" s="48">
        <v>9.811</v>
      </c>
      <c r="C15" s="47">
        <v>9.912</v>
      </c>
      <c r="D15" s="47">
        <v>9.951</v>
      </c>
      <c r="E15" s="48">
        <v>9.814</v>
      </c>
      <c r="F15" s="48">
        <v>9.515</v>
      </c>
      <c r="G15" s="48">
        <v>9.867</v>
      </c>
      <c r="H15" s="48">
        <v>8.765</v>
      </c>
      <c r="I15" s="53">
        <v>9.475</v>
      </c>
      <c r="J15" s="53">
        <v>10.552</v>
      </c>
      <c r="K15" s="53">
        <v>10.691</v>
      </c>
      <c r="L15" s="48">
        <v>9.612</v>
      </c>
      <c r="M15" s="52">
        <v>9.99</v>
      </c>
      <c r="N15" s="6">
        <f t="shared" si="0"/>
        <v>106.91</v>
      </c>
    </row>
    <row r="16" customFormat="1" ht="17" customHeight="1" spans="1:14">
      <c r="A16" s="46">
        <v>14</v>
      </c>
      <c r="B16" s="51">
        <v>9.753</v>
      </c>
      <c r="C16" s="49">
        <v>9.777</v>
      </c>
      <c r="D16" s="49">
        <v>9.805</v>
      </c>
      <c r="E16" s="50">
        <v>9.484</v>
      </c>
      <c r="F16" s="50">
        <v>7.519</v>
      </c>
      <c r="G16" s="50">
        <v>6.621</v>
      </c>
      <c r="H16" s="50">
        <v>6.434</v>
      </c>
      <c r="I16" s="54">
        <v>7.07</v>
      </c>
      <c r="J16" s="54">
        <v>7.507</v>
      </c>
      <c r="K16" s="54">
        <v>7.461</v>
      </c>
      <c r="L16" s="50">
        <v>6.812</v>
      </c>
      <c r="M16" s="51">
        <v>7.921</v>
      </c>
      <c r="N16" s="6">
        <f t="shared" si="0"/>
        <v>98.05</v>
      </c>
    </row>
    <row r="17" customFormat="1" ht="17" customHeight="1" spans="1:14">
      <c r="A17" s="46">
        <v>15</v>
      </c>
      <c r="B17" s="52">
        <v>7.609</v>
      </c>
      <c r="C17" s="47">
        <v>7.714</v>
      </c>
      <c r="D17" s="47">
        <v>7.889</v>
      </c>
      <c r="E17" s="48">
        <v>8.204</v>
      </c>
      <c r="F17" s="48">
        <v>8.681</v>
      </c>
      <c r="G17" s="48">
        <v>9.808</v>
      </c>
      <c r="H17" s="48">
        <v>9.089</v>
      </c>
      <c r="I17" s="53">
        <v>9.644</v>
      </c>
      <c r="J17" s="53">
        <v>10.141</v>
      </c>
      <c r="K17" s="53">
        <v>10.849</v>
      </c>
      <c r="L17" s="48">
        <v>9.977</v>
      </c>
      <c r="M17" s="52">
        <v>10.284</v>
      </c>
      <c r="N17" s="6">
        <f t="shared" si="0"/>
        <v>108.49</v>
      </c>
    </row>
    <row r="18" customFormat="1" ht="17" customHeight="1" spans="1:14">
      <c r="A18" s="46">
        <v>16</v>
      </c>
      <c r="B18" s="51">
        <v>9.774</v>
      </c>
      <c r="C18" s="49">
        <v>10.207</v>
      </c>
      <c r="D18" s="49">
        <v>10.087</v>
      </c>
      <c r="E18" s="49">
        <v>9.879</v>
      </c>
      <c r="F18" s="50">
        <v>9.568</v>
      </c>
      <c r="G18" s="50">
        <v>9.898</v>
      </c>
      <c r="H18" s="50">
        <v>9.351</v>
      </c>
      <c r="I18" s="54">
        <v>9.863</v>
      </c>
      <c r="J18" s="54">
        <v>10.091</v>
      </c>
      <c r="K18" s="54">
        <v>10.685</v>
      </c>
      <c r="L18" s="50">
        <v>9.793</v>
      </c>
      <c r="M18" s="51">
        <v>10.253</v>
      </c>
      <c r="N18" s="6">
        <f t="shared" si="0"/>
        <v>106.85</v>
      </c>
    </row>
    <row r="19" customFormat="1" ht="17" customHeight="1" spans="1:14">
      <c r="A19" s="46">
        <v>17</v>
      </c>
      <c r="B19" s="52">
        <v>9.806</v>
      </c>
      <c r="C19" s="47">
        <v>9.941</v>
      </c>
      <c r="D19" s="47">
        <v>9.994</v>
      </c>
      <c r="E19" s="48">
        <v>9.716</v>
      </c>
      <c r="F19" s="48">
        <v>9.374</v>
      </c>
      <c r="G19" s="48">
        <v>9.974</v>
      </c>
      <c r="H19" s="48">
        <v>9.403</v>
      </c>
      <c r="I19" s="53">
        <v>9.578</v>
      </c>
      <c r="J19" s="53">
        <v>10.386</v>
      </c>
      <c r="K19" s="53">
        <v>10.778</v>
      </c>
      <c r="L19" s="48">
        <v>9.889</v>
      </c>
      <c r="M19" s="52">
        <v>10.243</v>
      </c>
      <c r="N19" s="6">
        <f t="shared" si="0"/>
        <v>107.78</v>
      </c>
    </row>
    <row r="20" customFormat="1" ht="17" customHeight="1" spans="1:14">
      <c r="A20" s="46">
        <v>18</v>
      </c>
      <c r="B20" s="51">
        <v>9.982</v>
      </c>
      <c r="C20" s="49">
        <v>10.089</v>
      </c>
      <c r="D20" s="49">
        <v>9.962</v>
      </c>
      <c r="E20" s="49">
        <v>9.679</v>
      </c>
      <c r="F20" s="50">
        <v>9.437</v>
      </c>
      <c r="G20" s="50">
        <v>10.402</v>
      </c>
      <c r="H20" s="50">
        <v>9.892</v>
      </c>
      <c r="I20" s="54">
        <v>10.011</v>
      </c>
      <c r="J20" s="54">
        <v>10.22</v>
      </c>
      <c r="K20" s="54">
        <v>10.258</v>
      </c>
      <c r="L20" s="50">
        <v>9.315</v>
      </c>
      <c r="M20" s="51">
        <v>9.767</v>
      </c>
      <c r="N20" s="6">
        <f t="shared" si="0"/>
        <v>104.02</v>
      </c>
    </row>
    <row r="21" customFormat="1" ht="17" customHeight="1" spans="1:14">
      <c r="A21" s="46">
        <v>19</v>
      </c>
      <c r="B21" s="52">
        <v>9.165</v>
      </c>
      <c r="C21" s="47">
        <v>9.193</v>
      </c>
      <c r="D21" s="47">
        <v>9.345</v>
      </c>
      <c r="E21" s="48">
        <v>9.171</v>
      </c>
      <c r="F21" s="48">
        <v>8.976</v>
      </c>
      <c r="G21" s="48">
        <v>9.919</v>
      </c>
      <c r="H21" s="48">
        <v>9.353</v>
      </c>
      <c r="I21" s="53">
        <v>9.653</v>
      </c>
      <c r="J21" s="53">
        <v>9.885</v>
      </c>
      <c r="K21" s="53">
        <v>9.802</v>
      </c>
      <c r="L21" s="48">
        <v>8.865</v>
      </c>
      <c r="M21" s="52">
        <v>9.278</v>
      </c>
      <c r="N21" s="6">
        <f t="shared" si="0"/>
        <v>99.19</v>
      </c>
    </row>
    <row r="22" customFormat="1" ht="17" customHeight="1" spans="1:14">
      <c r="A22" s="46">
        <v>20</v>
      </c>
      <c r="B22" s="51">
        <v>8.832</v>
      </c>
      <c r="C22" s="49">
        <v>8.944</v>
      </c>
      <c r="D22" s="49">
        <v>8.978</v>
      </c>
      <c r="E22" s="50">
        <v>8.845</v>
      </c>
      <c r="F22" s="50">
        <v>8.408</v>
      </c>
      <c r="G22" s="50">
        <v>8.799</v>
      </c>
      <c r="H22" s="50">
        <v>8.699</v>
      </c>
      <c r="I22" s="54">
        <v>8.971</v>
      </c>
      <c r="J22" s="54">
        <v>9.269</v>
      </c>
      <c r="K22" s="54">
        <v>9.128</v>
      </c>
      <c r="L22" s="50">
        <v>8.839</v>
      </c>
      <c r="M22" s="51">
        <v>8.908</v>
      </c>
      <c r="N22" s="6">
        <f t="shared" si="0"/>
        <v>92.69</v>
      </c>
    </row>
    <row r="23" customFormat="1" ht="17" customHeight="1" spans="1:14">
      <c r="A23" s="46">
        <v>21</v>
      </c>
      <c r="B23" s="52">
        <v>8.503</v>
      </c>
      <c r="C23" s="47">
        <v>8.685</v>
      </c>
      <c r="D23" s="47">
        <v>8.794</v>
      </c>
      <c r="E23" s="48">
        <v>8.45</v>
      </c>
      <c r="F23" s="48">
        <v>7.393</v>
      </c>
      <c r="G23" s="48">
        <v>7.593</v>
      </c>
      <c r="H23" s="48">
        <v>7.182</v>
      </c>
      <c r="I23" s="53">
        <v>7.57</v>
      </c>
      <c r="J23" s="53">
        <v>7.736</v>
      </c>
      <c r="K23" s="53">
        <v>7.648</v>
      </c>
      <c r="L23" s="48">
        <v>7.232</v>
      </c>
      <c r="M23" s="52">
        <v>7.591</v>
      </c>
      <c r="N23" s="6">
        <f t="shared" si="0"/>
        <v>87.94</v>
      </c>
    </row>
    <row r="24" customFormat="1" ht="17" customHeight="1" spans="1:14">
      <c r="A24" s="46">
        <v>22</v>
      </c>
      <c r="B24" s="51">
        <v>7.231</v>
      </c>
      <c r="C24" s="49">
        <v>7.564</v>
      </c>
      <c r="D24" s="49">
        <v>7.561</v>
      </c>
      <c r="E24" s="50">
        <v>7.759</v>
      </c>
      <c r="F24" s="50">
        <v>8.443</v>
      </c>
      <c r="G24" s="50">
        <v>9.499</v>
      </c>
      <c r="H24" s="50">
        <v>8.972</v>
      </c>
      <c r="I24" s="54">
        <v>9.496</v>
      </c>
      <c r="J24" s="54">
        <v>9.823</v>
      </c>
      <c r="K24" s="54">
        <v>9.727</v>
      </c>
      <c r="L24" s="50">
        <v>9.022</v>
      </c>
      <c r="M24" s="51">
        <v>9.318</v>
      </c>
      <c r="N24" s="6">
        <f t="shared" si="0"/>
        <v>98.23</v>
      </c>
    </row>
    <row r="25" customFormat="1" ht="17" customHeight="1" spans="1:14">
      <c r="A25" s="46">
        <v>23</v>
      </c>
      <c r="B25" s="52">
        <v>8.812</v>
      </c>
      <c r="C25" s="47">
        <v>8.999</v>
      </c>
      <c r="D25" s="47">
        <v>9.133</v>
      </c>
      <c r="E25" s="48">
        <v>8.89</v>
      </c>
      <c r="F25" s="48">
        <v>8.776</v>
      </c>
      <c r="G25" s="48">
        <v>9.505</v>
      </c>
      <c r="H25" s="48">
        <v>8.792</v>
      </c>
      <c r="I25" s="53">
        <v>9.4</v>
      </c>
      <c r="J25" s="53">
        <v>9.645</v>
      </c>
      <c r="K25" s="53">
        <v>9.92</v>
      </c>
      <c r="L25" s="48">
        <v>8.77</v>
      </c>
      <c r="M25" s="52">
        <v>9.369</v>
      </c>
      <c r="N25" s="6">
        <f t="shared" si="0"/>
        <v>99.2</v>
      </c>
    </row>
    <row r="26" customFormat="1" ht="17" customHeight="1" spans="1:14">
      <c r="A26" s="46">
        <v>24</v>
      </c>
      <c r="B26" s="51">
        <v>8.741</v>
      </c>
      <c r="C26" s="49">
        <v>9.188</v>
      </c>
      <c r="D26" s="49">
        <v>9.096</v>
      </c>
      <c r="E26" s="49">
        <v>8.932</v>
      </c>
      <c r="F26" s="50">
        <v>8.767</v>
      </c>
      <c r="G26" s="50">
        <v>9.144</v>
      </c>
      <c r="H26" s="50">
        <v>9.015</v>
      </c>
      <c r="I26" s="54">
        <v>9.501</v>
      </c>
      <c r="J26" s="54">
        <v>9.519</v>
      </c>
      <c r="K26" s="54">
        <v>9.569</v>
      </c>
      <c r="L26" s="50">
        <v>8.74</v>
      </c>
      <c r="M26" s="51">
        <v>9.215</v>
      </c>
      <c r="N26" s="6">
        <f t="shared" si="0"/>
        <v>95.69</v>
      </c>
    </row>
    <row r="27" customFormat="1" ht="17" customHeight="1" spans="1:14">
      <c r="A27" s="46">
        <v>25</v>
      </c>
      <c r="B27" s="52">
        <v>8.764</v>
      </c>
      <c r="C27" s="47">
        <v>9.122</v>
      </c>
      <c r="D27" s="47">
        <v>9.068</v>
      </c>
      <c r="E27" s="48">
        <v>8.961</v>
      </c>
      <c r="F27" s="48">
        <v>8.812</v>
      </c>
      <c r="G27" s="48">
        <v>9.816</v>
      </c>
      <c r="H27" s="48">
        <v>9.105</v>
      </c>
      <c r="I27" s="53">
        <v>9.73</v>
      </c>
      <c r="J27" s="53">
        <v>9.945</v>
      </c>
      <c r="K27" s="53">
        <v>9.942</v>
      </c>
      <c r="L27" s="48">
        <v>9.14</v>
      </c>
      <c r="M27" s="52">
        <v>9.431</v>
      </c>
      <c r="N27" s="6">
        <f t="shared" si="0"/>
        <v>99.45</v>
      </c>
    </row>
    <row r="28" customFormat="1" ht="17" customHeight="1" spans="1:14">
      <c r="A28" s="46">
        <v>26</v>
      </c>
      <c r="B28" s="51">
        <v>8.928</v>
      </c>
      <c r="C28" s="49">
        <v>9.076</v>
      </c>
      <c r="D28" s="49">
        <v>9.154</v>
      </c>
      <c r="E28" s="50">
        <v>8.867</v>
      </c>
      <c r="F28" s="50">
        <v>8.484</v>
      </c>
      <c r="G28" s="50">
        <v>9.384</v>
      </c>
      <c r="H28" s="50">
        <v>8.706</v>
      </c>
      <c r="I28" s="54">
        <v>9.087</v>
      </c>
      <c r="J28" s="54">
        <v>9.704</v>
      </c>
      <c r="K28" s="54">
        <v>9.543</v>
      </c>
      <c r="L28" s="50">
        <v>8.585</v>
      </c>
      <c r="M28" s="51">
        <v>8.986</v>
      </c>
      <c r="N28" s="6">
        <f t="shared" si="0"/>
        <v>97.04</v>
      </c>
    </row>
    <row r="29" customFormat="1" ht="17" customHeight="1" spans="1:14">
      <c r="A29" s="46">
        <v>27</v>
      </c>
      <c r="B29" s="48">
        <v>8.64</v>
      </c>
      <c r="C29" s="47">
        <v>8.846</v>
      </c>
      <c r="D29" s="47">
        <v>8.923</v>
      </c>
      <c r="E29" s="48">
        <v>8.727</v>
      </c>
      <c r="F29" s="48">
        <v>8.505</v>
      </c>
      <c r="G29" s="48">
        <v>9.085</v>
      </c>
      <c r="H29" s="48">
        <v>8.457</v>
      </c>
      <c r="I29" s="53">
        <v>8.665</v>
      </c>
      <c r="J29" s="53">
        <v>9.14</v>
      </c>
      <c r="K29" s="53">
        <v>9.3</v>
      </c>
      <c r="L29" s="48">
        <v>8.504</v>
      </c>
      <c r="M29" s="52">
        <v>9.012</v>
      </c>
      <c r="N29" s="6">
        <f t="shared" si="0"/>
        <v>93</v>
      </c>
    </row>
    <row r="30" customFormat="1" ht="17" customHeight="1" spans="1:14">
      <c r="A30" s="46">
        <v>28</v>
      </c>
      <c r="B30" s="51">
        <v>8.648</v>
      </c>
      <c r="C30" s="49">
        <v>8.741</v>
      </c>
      <c r="D30" s="49">
        <v>8.599</v>
      </c>
      <c r="E30" s="50">
        <v>8.47</v>
      </c>
      <c r="F30" s="50">
        <v>7.308</v>
      </c>
      <c r="G30" s="50">
        <v>6.913</v>
      </c>
      <c r="H30" s="50">
        <v>6.586</v>
      </c>
      <c r="I30" s="54">
        <v>6.778</v>
      </c>
      <c r="J30" s="54">
        <v>7.592</v>
      </c>
      <c r="K30" s="54">
        <v>7.714</v>
      </c>
      <c r="L30" s="50">
        <v>7.498</v>
      </c>
      <c r="M30" s="51">
        <v>7.746</v>
      </c>
      <c r="N30" s="6">
        <f t="shared" si="0"/>
        <v>87.41</v>
      </c>
    </row>
    <row r="31" customFormat="1" ht="17" customHeight="1" spans="1:14">
      <c r="A31" s="46">
        <v>29</v>
      </c>
      <c r="B31" s="52">
        <v>7.429</v>
      </c>
      <c r="C31" s="47">
        <v>7.657</v>
      </c>
      <c r="D31" s="47">
        <v>7.648</v>
      </c>
      <c r="E31" s="47">
        <v>7.761</v>
      </c>
      <c r="F31" s="48">
        <v>7.888</v>
      </c>
      <c r="G31" s="48">
        <v>8.819</v>
      </c>
      <c r="H31" s="48">
        <v>8.159</v>
      </c>
      <c r="I31" s="53">
        <v>8.506</v>
      </c>
      <c r="J31" s="53">
        <v>8.717</v>
      </c>
      <c r="K31" s="53">
        <v>8.463</v>
      </c>
      <c r="L31" s="48">
        <v>7.95</v>
      </c>
      <c r="M31" s="52">
        <v>8.329</v>
      </c>
      <c r="N31" s="6">
        <f t="shared" si="0"/>
        <v>88.19</v>
      </c>
    </row>
    <row r="32" customFormat="1" ht="17" customHeight="1" spans="1:14">
      <c r="A32" s="46">
        <v>30</v>
      </c>
      <c r="B32" s="51">
        <v>7.939</v>
      </c>
      <c r="C32" s="49">
        <v>8.1</v>
      </c>
      <c r="D32" s="49">
        <v>8.158</v>
      </c>
      <c r="E32" s="49">
        <v>7.764</v>
      </c>
      <c r="F32" s="50">
        <v>7.198</v>
      </c>
      <c r="G32" s="50">
        <v>7.384</v>
      </c>
      <c r="H32" s="50">
        <v>6.811</v>
      </c>
      <c r="I32" s="54">
        <v>7.003</v>
      </c>
      <c r="J32" s="54">
        <v>5.851</v>
      </c>
      <c r="K32" s="54">
        <v>3.596</v>
      </c>
      <c r="L32" s="50">
        <v>2.488</v>
      </c>
      <c r="M32" s="51">
        <v>1.67</v>
      </c>
      <c r="N32" s="6">
        <f t="shared" si="0"/>
        <v>81.58</v>
      </c>
    </row>
  </sheetData>
  <mergeCells count="1">
    <mergeCell ref="A1:M1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3"/>
  <sheetViews>
    <sheetView workbookViewId="0">
      <selection activeCell="Q34" sqref="Q34"/>
    </sheetView>
  </sheetViews>
  <sheetFormatPr defaultColWidth="9" defaultRowHeight="13.5"/>
  <cols>
    <col min="7" max="7" width="9.25"/>
    <col min="13" max="13" width="9.25"/>
  </cols>
  <sheetData>
    <row r="1" customFormat="1" ht="26" customHeight="1" spans="1:13">
      <c r="A1" s="42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customFormat="1" ht="24" customHeight="1" spans="1:14">
      <c r="A2" s="44" t="s">
        <v>2</v>
      </c>
      <c r="B2" s="45">
        <v>0</v>
      </c>
      <c r="C2" s="45">
        <v>0.0833333333333333</v>
      </c>
      <c r="D2" s="45">
        <v>0.166666666666667</v>
      </c>
      <c r="E2" s="45">
        <v>0.25</v>
      </c>
      <c r="F2" s="45">
        <v>0.333333333333333</v>
      </c>
      <c r="G2" s="45">
        <v>0.416666666666667</v>
      </c>
      <c r="H2" s="45">
        <v>0.5</v>
      </c>
      <c r="I2" s="45">
        <v>0.583333333333333</v>
      </c>
      <c r="J2" s="45">
        <v>0.666666666666667</v>
      </c>
      <c r="K2" s="45">
        <v>0.75</v>
      </c>
      <c r="L2" s="45">
        <v>0.833333333333333</v>
      </c>
      <c r="M2" s="45">
        <v>0.916666666666667</v>
      </c>
      <c r="N2" s="6" t="s">
        <v>3</v>
      </c>
    </row>
    <row r="3" customFormat="1" ht="17" customHeight="1" spans="1:14">
      <c r="A3" s="46">
        <v>1</v>
      </c>
      <c r="B3" s="47">
        <v>1.534</v>
      </c>
      <c r="C3" s="47">
        <v>1.484</v>
      </c>
      <c r="D3" s="47">
        <v>1.453</v>
      </c>
      <c r="E3" s="48">
        <v>1.418</v>
      </c>
      <c r="F3" s="48">
        <v>1.252</v>
      </c>
      <c r="G3" s="48">
        <v>0.731</v>
      </c>
      <c r="H3" s="48">
        <v>0.216</v>
      </c>
      <c r="I3" s="53">
        <v>0.68</v>
      </c>
      <c r="J3" s="53">
        <v>0.558</v>
      </c>
      <c r="K3" s="53">
        <v>1.086</v>
      </c>
      <c r="L3" s="48">
        <v>1.067</v>
      </c>
      <c r="M3" s="48">
        <v>1.067</v>
      </c>
      <c r="N3" s="6">
        <f t="shared" ref="N3:N33" si="0">MAX(B3:M3)*10</f>
        <v>15.34</v>
      </c>
    </row>
    <row r="4" customFormat="1" ht="17" customHeight="1" spans="1:14">
      <c r="A4" s="46">
        <v>2</v>
      </c>
      <c r="B4" s="49">
        <v>1.131</v>
      </c>
      <c r="C4" s="49">
        <v>1.351</v>
      </c>
      <c r="D4" s="49">
        <v>1.182</v>
      </c>
      <c r="E4" s="50">
        <v>1.141</v>
      </c>
      <c r="F4" s="50">
        <v>1.011</v>
      </c>
      <c r="G4" s="50">
        <v>0.884</v>
      </c>
      <c r="H4" s="50">
        <v>0.667</v>
      </c>
      <c r="I4" s="54">
        <v>0.875</v>
      </c>
      <c r="J4" s="54">
        <v>1.18</v>
      </c>
      <c r="K4" s="54">
        <v>1.471</v>
      </c>
      <c r="L4" s="50">
        <v>1.451</v>
      </c>
      <c r="M4" s="51">
        <v>1.486</v>
      </c>
      <c r="N4" s="6">
        <f t="shared" si="0"/>
        <v>14.86</v>
      </c>
    </row>
    <row r="5" customFormat="1" ht="17" customHeight="1" spans="1:14">
      <c r="A5" s="46">
        <v>3</v>
      </c>
      <c r="B5" s="48">
        <v>1.431</v>
      </c>
      <c r="C5" s="47">
        <v>1.342</v>
      </c>
      <c r="D5" s="47">
        <v>1.419</v>
      </c>
      <c r="E5" s="48">
        <v>1.382</v>
      </c>
      <c r="F5" s="48">
        <v>1.241</v>
      </c>
      <c r="G5" s="48">
        <v>1.142</v>
      </c>
      <c r="H5" s="48">
        <v>0.735</v>
      </c>
      <c r="I5" s="53">
        <v>0.364</v>
      </c>
      <c r="J5" s="53">
        <v>0.895</v>
      </c>
      <c r="K5" s="53">
        <v>1.617</v>
      </c>
      <c r="L5" s="48">
        <v>1.747</v>
      </c>
      <c r="M5" s="52">
        <v>2.053</v>
      </c>
      <c r="N5" s="6">
        <f t="shared" si="0"/>
        <v>20.53</v>
      </c>
    </row>
    <row r="6" customFormat="1" ht="17" customHeight="1" spans="1:14">
      <c r="A6" s="46">
        <v>4</v>
      </c>
      <c r="B6" s="50">
        <v>1.971</v>
      </c>
      <c r="C6" s="49">
        <v>2.272</v>
      </c>
      <c r="D6" s="49">
        <v>2.354</v>
      </c>
      <c r="E6" s="50">
        <v>2.468</v>
      </c>
      <c r="F6" s="50">
        <v>2.442</v>
      </c>
      <c r="G6" s="50">
        <v>2.822</v>
      </c>
      <c r="H6" s="50">
        <v>2.602</v>
      </c>
      <c r="I6" s="54">
        <v>2.647</v>
      </c>
      <c r="J6" s="54">
        <v>2.784</v>
      </c>
      <c r="K6" s="54">
        <v>3.023</v>
      </c>
      <c r="L6" s="50">
        <v>2.989</v>
      </c>
      <c r="M6" s="51">
        <v>3.068</v>
      </c>
      <c r="N6" s="6">
        <f t="shared" si="0"/>
        <v>30.68</v>
      </c>
    </row>
    <row r="7" customFormat="1" ht="17" customHeight="1" spans="1:14">
      <c r="A7" s="46">
        <v>5</v>
      </c>
      <c r="B7" s="48">
        <v>2.957</v>
      </c>
      <c r="C7" s="47">
        <v>3.016</v>
      </c>
      <c r="D7" s="47">
        <v>2.989</v>
      </c>
      <c r="E7" s="48">
        <v>2.907</v>
      </c>
      <c r="F7" s="48">
        <v>2.934</v>
      </c>
      <c r="G7" s="48">
        <v>2.585</v>
      </c>
      <c r="H7" s="48">
        <v>1.939</v>
      </c>
      <c r="I7" s="53">
        <v>2.459</v>
      </c>
      <c r="J7" s="53">
        <v>2.733</v>
      </c>
      <c r="K7" s="53">
        <v>3.125</v>
      </c>
      <c r="L7" s="48">
        <v>2.877</v>
      </c>
      <c r="M7" s="52">
        <v>2.945</v>
      </c>
      <c r="N7" s="6">
        <f t="shared" si="0"/>
        <v>31.25</v>
      </c>
    </row>
    <row r="8" customFormat="1" ht="17" customHeight="1" spans="1:14">
      <c r="A8" s="46">
        <v>6</v>
      </c>
      <c r="B8" s="51">
        <v>2.89</v>
      </c>
      <c r="C8" s="49">
        <v>2.98</v>
      </c>
      <c r="D8" s="49">
        <v>2.922</v>
      </c>
      <c r="E8" s="50">
        <v>2.951</v>
      </c>
      <c r="F8" s="50">
        <v>2.467</v>
      </c>
      <c r="G8" s="50">
        <v>2.161</v>
      </c>
      <c r="H8" s="50">
        <v>1.899</v>
      </c>
      <c r="I8" s="54">
        <v>2.686</v>
      </c>
      <c r="J8" s="54">
        <v>2.524</v>
      </c>
      <c r="K8" s="54">
        <v>3.419</v>
      </c>
      <c r="L8" s="50">
        <v>3.414</v>
      </c>
      <c r="M8" s="51">
        <v>3.895</v>
      </c>
      <c r="N8" s="6">
        <f t="shared" si="0"/>
        <v>38.95</v>
      </c>
    </row>
    <row r="9" customFormat="1" ht="17" customHeight="1" spans="1:14">
      <c r="A9" s="46">
        <v>7</v>
      </c>
      <c r="B9" s="48">
        <v>4.084</v>
      </c>
      <c r="C9" s="47">
        <v>5.158</v>
      </c>
      <c r="D9" s="47">
        <v>5.356</v>
      </c>
      <c r="E9" s="48">
        <v>5.405</v>
      </c>
      <c r="F9" s="48">
        <v>6.173</v>
      </c>
      <c r="G9" s="48">
        <v>7.881</v>
      </c>
      <c r="H9" s="48">
        <v>7.939</v>
      </c>
      <c r="I9" s="53">
        <v>8.632</v>
      </c>
      <c r="J9" s="53">
        <v>9.65</v>
      </c>
      <c r="K9" s="53">
        <v>9.851</v>
      </c>
      <c r="L9" s="48">
        <v>9.172</v>
      </c>
      <c r="M9" s="52">
        <v>9.384</v>
      </c>
      <c r="N9" s="6">
        <f t="shared" si="0"/>
        <v>98.51</v>
      </c>
    </row>
    <row r="10" customFormat="1" ht="17" customHeight="1" spans="1:14">
      <c r="A10" s="46">
        <v>8</v>
      </c>
      <c r="B10" s="51">
        <v>9.078</v>
      </c>
      <c r="C10" s="50">
        <v>9.216</v>
      </c>
      <c r="D10" s="49">
        <v>9.357</v>
      </c>
      <c r="E10" s="50">
        <v>9.334</v>
      </c>
      <c r="F10" s="50">
        <v>9.104</v>
      </c>
      <c r="G10" s="50">
        <v>9.509</v>
      </c>
      <c r="H10" s="50">
        <v>8.702</v>
      </c>
      <c r="I10" s="54">
        <v>9.531</v>
      </c>
      <c r="J10" s="54">
        <v>10.189</v>
      </c>
      <c r="K10" s="54">
        <v>10.439</v>
      </c>
      <c r="L10" s="50">
        <v>9.701</v>
      </c>
      <c r="M10" s="51">
        <v>10.084</v>
      </c>
      <c r="N10" s="6">
        <f t="shared" si="0"/>
        <v>104.39</v>
      </c>
    </row>
    <row r="11" customFormat="1" ht="17" customHeight="1" spans="1:14">
      <c r="A11" s="46">
        <v>9</v>
      </c>
      <c r="B11" s="47">
        <v>9.368</v>
      </c>
      <c r="C11" s="47">
        <v>9.757</v>
      </c>
      <c r="D11" s="47">
        <v>9.668</v>
      </c>
      <c r="E11" s="47">
        <v>9.594</v>
      </c>
      <c r="F11" s="48">
        <v>9.408</v>
      </c>
      <c r="G11" s="48">
        <v>10.014</v>
      </c>
      <c r="H11" s="48">
        <v>9.151</v>
      </c>
      <c r="I11" s="53">
        <v>9.551</v>
      </c>
      <c r="J11" s="53">
        <v>10.236</v>
      </c>
      <c r="K11" s="53">
        <v>10.75</v>
      </c>
      <c r="L11" s="48">
        <v>9.753</v>
      </c>
      <c r="M11" s="52">
        <v>10.3</v>
      </c>
      <c r="N11" s="6">
        <f t="shared" si="0"/>
        <v>107.5</v>
      </c>
    </row>
    <row r="12" customFormat="1" ht="17" customHeight="1" spans="1:14">
      <c r="A12" s="46">
        <v>10</v>
      </c>
      <c r="B12" s="51">
        <v>9.819</v>
      </c>
      <c r="C12" s="49">
        <v>10.11</v>
      </c>
      <c r="D12" s="49">
        <v>10.087</v>
      </c>
      <c r="E12" s="50">
        <v>10.016</v>
      </c>
      <c r="F12" s="50">
        <v>9.506</v>
      </c>
      <c r="G12" s="50">
        <v>10.027</v>
      </c>
      <c r="H12" s="50">
        <v>9.303</v>
      </c>
      <c r="I12" s="54">
        <v>10.391</v>
      </c>
      <c r="J12" s="54">
        <v>10.57</v>
      </c>
      <c r="K12" s="54">
        <v>10.683</v>
      </c>
      <c r="L12" s="50">
        <v>9.628</v>
      </c>
      <c r="M12" s="51">
        <v>10.185</v>
      </c>
      <c r="N12" s="6">
        <f t="shared" si="0"/>
        <v>106.83</v>
      </c>
    </row>
    <row r="13" customFormat="1" ht="17" customHeight="1" spans="1:14">
      <c r="A13" s="46">
        <v>11</v>
      </c>
      <c r="B13" s="52">
        <v>9.765</v>
      </c>
      <c r="C13" s="47">
        <v>10.074</v>
      </c>
      <c r="D13" s="47">
        <v>10.031</v>
      </c>
      <c r="E13" s="48">
        <v>9.973</v>
      </c>
      <c r="F13" s="48">
        <v>9.376</v>
      </c>
      <c r="G13" s="48">
        <v>9.938</v>
      </c>
      <c r="H13" s="48">
        <v>9.016</v>
      </c>
      <c r="I13" s="53">
        <v>9.848</v>
      </c>
      <c r="J13" s="53">
        <v>10.399</v>
      </c>
      <c r="K13" s="53">
        <v>10.552</v>
      </c>
      <c r="L13" s="48">
        <v>9.556</v>
      </c>
      <c r="M13" s="52">
        <v>9.924</v>
      </c>
      <c r="N13" s="6">
        <f t="shared" si="0"/>
        <v>105.52</v>
      </c>
    </row>
    <row r="14" customFormat="1" ht="17" customHeight="1" spans="1:14">
      <c r="A14" s="46">
        <v>12</v>
      </c>
      <c r="B14" s="51">
        <v>9.434</v>
      </c>
      <c r="C14" s="49">
        <v>9.495</v>
      </c>
      <c r="D14" s="49">
        <v>9.506</v>
      </c>
      <c r="E14" s="50">
        <v>9.101</v>
      </c>
      <c r="F14" s="50">
        <v>8.082</v>
      </c>
      <c r="G14" s="50">
        <v>8.331</v>
      </c>
      <c r="H14" s="50">
        <v>7.391</v>
      </c>
      <c r="I14" s="54">
        <v>7.23</v>
      </c>
      <c r="J14" s="54">
        <v>7.881</v>
      </c>
      <c r="K14" s="54">
        <v>8.369</v>
      </c>
      <c r="L14" s="50">
        <v>7.859</v>
      </c>
      <c r="M14" s="51">
        <v>8.261</v>
      </c>
      <c r="N14" s="6">
        <f t="shared" si="0"/>
        <v>95.06</v>
      </c>
    </row>
    <row r="15" customFormat="1" ht="17" customHeight="1" spans="1:14">
      <c r="A15" s="46">
        <v>13</v>
      </c>
      <c r="B15" s="48">
        <v>7.906</v>
      </c>
      <c r="C15" s="47">
        <v>8.214</v>
      </c>
      <c r="D15" s="47">
        <v>8.288</v>
      </c>
      <c r="E15" s="48">
        <v>8.411</v>
      </c>
      <c r="F15" s="48">
        <v>8.771</v>
      </c>
      <c r="G15" s="48">
        <v>9.637</v>
      </c>
      <c r="H15" s="48">
        <v>8.916</v>
      </c>
      <c r="I15" s="53">
        <v>9.54</v>
      </c>
      <c r="J15" s="53">
        <v>9.752</v>
      </c>
      <c r="K15" s="53">
        <v>9.581</v>
      </c>
      <c r="L15" s="48">
        <v>8.681</v>
      </c>
      <c r="M15" s="52">
        <v>9.126</v>
      </c>
      <c r="N15" s="6">
        <f t="shared" si="0"/>
        <v>97.52</v>
      </c>
    </row>
    <row r="16" customFormat="1" ht="17" customHeight="1" spans="1:14">
      <c r="A16" s="46">
        <v>14</v>
      </c>
      <c r="B16" s="51">
        <v>8.703</v>
      </c>
      <c r="C16" s="49">
        <v>9.073</v>
      </c>
      <c r="D16" s="49">
        <v>9.005</v>
      </c>
      <c r="E16" s="50">
        <v>8.814</v>
      </c>
      <c r="F16" s="50">
        <v>9.012</v>
      </c>
      <c r="G16" s="50">
        <v>9.527</v>
      </c>
      <c r="H16" s="50">
        <v>9.196</v>
      </c>
      <c r="I16" s="54">
        <v>9.379</v>
      </c>
      <c r="J16" s="54">
        <v>9.586</v>
      </c>
      <c r="K16" s="54">
        <v>9.544</v>
      </c>
      <c r="L16" s="50">
        <v>8.704</v>
      </c>
      <c r="M16" s="51">
        <v>9.294</v>
      </c>
      <c r="N16" s="6">
        <f t="shared" si="0"/>
        <v>95.86</v>
      </c>
    </row>
    <row r="17" customFormat="1" ht="17" customHeight="1" spans="1:14">
      <c r="A17" s="46">
        <v>15</v>
      </c>
      <c r="B17" s="52">
        <v>8.775</v>
      </c>
      <c r="C17" s="47">
        <v>9.06</v>
      </c>
      <c r="D17" s="47">
        <v>9.003</v>
      </c>
      <c r="E17" s="48">
        <v>9.046</v>
      </c>
      <c r="F17" s="48">
        <v>8.596</v>
      </c>
      <c r="G17" s="48">
        <v>9.275</v>
      </c>
      <c r="H17" s="48">
        <v>9.067</v>
      </c>
      <c r="I17" s="53">
        <v>9.206</v>
      </c>
      <c r="J17" s="53">
        <v>9.775</v>
      </c>
      <c r="K17" s="53">
        <v>9.813</v>
      </c>
      <c r="L17" s="48">
        <v>9.003</v>
      </c>
      <c r="M17" s="52">
        <v>9.455</v>
      </c>
      <c r="N17" s="6">
        <f t="shared" si="0"/>
        <v>98.13</v>
      </c>
    </row>
    <row r="18" customFormat="1" ht="17" customHeight="1" spans="1:14">
      <c r="A18" s="46">
        <v>16</v>
      </c>
      <c r="B18" s="51">
        <v>8.919</v>
      </c>
      <c r="C18" s="49">
        <v>9.14</v>
      </c>
      <c r="D18" s="49">
        <v>9.075</v>
      </c>
      <c r="E18" s="49">
        <v>9.149</v>
      </c>
      <c r="F18" s="50">
        <v>8.763</v>
      </c>
      <c r="G18" s="50">
        <v>9.751</v>
      </c>
      <c r="H18" s="50">
        <v>9.136</v>
      </c>
      <c r="I18" s="54">
        <v>9.527</v>
      </c>
      <c r="J18" s="54">
        <v>9.711</v>
      </c>
      <c r="K18" s="54">
        <v>9.645</v>
      </c>
      <c r="L18" s="50">
        <v>8.82</v>
      </c>
      <c r="M18" s="51">
        <v>9.219</v>
      </c>
      <c r="N18" s="6">
        <f t="shared" si="0"/>
        <v>97.51</v>
      </c>
    </row>
    <row r="19" customFormat="1" ht="17" customHeight="1" spans="1:14">
      <c r="A19" s="46">
        <v>17</v>
      </c>
      <c r="B19" s="52">
        <v>8.856</v>
      </c>
      <c r="C19" s="47">
        <v>9.069</v>
      </c>
      <c r="D19" s="47">
        <v>9.092</v>
      </c>
      <c r="E19" s="48">
        <v>9.038</v>
      </c>
      <c r="F19" s="48">
        <v>8.796</v>
      </c>
      <c r="G19" s="48">
        <v>9.029</v>
      </c>
      <c r="H19" s="48">
        <v>8.735</v>
      </c>
      <c r="I19" s="53">
        <v>9.22</v>
      </c>
      <c r="J19" s="53">
        <v>9.689</v>
      </c>
      <c r="K19" s="53">
        <v>9.829</v>
      </c>
      <c r="L19" s="48">
        <v>8.856</v>
      </c>
      <c r="M19" s="52">
        <v>9.407</v>
      </c>
      <c r="N19" s="6">
        <f t="shared" si="0"/>
        <v>98.29</v>
      </c>
    </row>
    <row r="20" customFormat="1" ht="17" customHeight="1" spans="1:14">
      <c r="A20" s="46">
        <v>18</v>
      </c>
      <c r="B20" s="51">
        <v>8.853</v>
      </c>
      <c r="C20" s="49">
        <v>9.065</v>
      </c>
      <c r="D20" s="49">
        <v>9.034</v>
      </c>
      <c r="E20" s="49">
        <v>8.858</v>
      </c>
      <c r="F20" s="50">
        <v>8.66</v>
      </c>
      <c r="G20" s="50">
        <v>9.424</v>
      </c>
      <c r="H20" s="50">
        <v>8.806</v>
      </c>
      <c r="I20" s="54">
        <v>9.44</v>
      </c>
      <c r="J20" s="54">
        <v>9.485</v>
      </c>
      <c r="K20" s="54">
        <v>9.391</v>
      </c>
      <c r="L20" s="50">
        <v>8.498</v>
      </c>
      <c r="M20" s="51">
        <v>8.696</v>
      </c>
      <c r="N20" s="6">
        <f t="shared" si="0"/>
        <v>94.85</v>
      </c>
    </row>
    <row r="21" customFormat="1" ht="17" customHeight="1" spans="1:14">
      <c r="A21" s="46">
        <v>19</v>
      </c>
      <c r="B21" s="52">
        <v>8.328</v>
      </c>
      <c r="C21" s="47">
        <v>8.75</v>
      </c>
      <c r="D21" s="47">
        <v>8.483</v>
      </c>
      <c r="E21" s="48">
        <v>8.12</v>
      </c>
      <c r="F21" s="48">
        <v>7.317</v>
      </c>
      <c r="G21" s="48">
        <v>7.591</v>
      </c>
      <c r="H21" s="48">
        <v>7.269</v>
      </c>
      <c r="I21" s="53">
        <v>7.496</v>
      </c>
      <c r="J21" s="53">
        <v>7.46</v>
      </c>
      <c r="K21" s="53">
        <v>7.552</v>
      </c>
      <c r="L21" s="48">
        <v>7.223</v>
      </c>
      <c r="M21" s="52">
        <v>7.582</v>
      </c>
      <c r="N21" s="6">
        <f t="shared" si="0"/>
        <v>87.5</v>
      </c>
    </row>
    <row r="22" customFormat="1" ht="17" customHeight="1" spans="1:14">
      <c r="A22" s="46">
        <v>20</v>
      </c>
      <c r="B22" s="51">
        <v>7.331</v>
      </c>
      <c r="C22" s="49">
        <v>7.364</v>
      </c>
      <c r="D22" s="49">
        <v>7.605</v>
      </c>
      <c r="E22" s="50">
        <v>7.695</v>
      </c>
      <c r="F22" s="50">
        <v>8.048</v>
      </c>
      <c r="G22" s="50">
        <v>9.235</v>
      </c>
      <c r="H22" s="50">
        <v>8.769</v>
      </c>
      <c r="I22" s="54">
        <v>9.09</v>
      </c>
      <c r="J22" s="54">
        <v>9.357</v>
      </c>
      <c r="K22" s="54">
        <v>9.3</v>
      </c>
      <c r="L22" s="50">
        <v>8.554</v>
      </c>
      <c r="M22" s="51">
        <v>8.942</v>
      </c>
      <c r="N22" s="6">
        <f t="shared" si="0"/>
        <v>93.57</v>
      </c>
    </row>
    <row r="23" customFormat="1" ht="17" customHeight="1" spans="1:14">
      <c r="A23" s="46">
        <v>21</v>
      </c>
      <c r="B23" s="52">
        <v>8.519</v>
      </c>
      <c r="C23" s="47">
        <v>8.711</v>
      </c>
      <c r="D23" s="47">
        <v>8.775</v>
      </c>
      <c r="E23" s="48">
        <v>8.715</v>
      </c>
      <c r="F23" s="48">
        <v>8.534</v>
      </c>
      <c r="G23" s="48">
        <v>9.193</v>
      </c>
      <c r="H23" s="48">
        <v>8.886</v>
      </c>
      <c r="I23" s="53">
        <v>9.132</v>
      </c>
      <c r="J23" s="53">
        <v>9.258</v>
      </c>
      <c r="K23" s="53">
        <v>9.291</v>
      </c>
      <c r="L23" s="48">
        <v>8.464</v>
      </c>
      <c r="M23" s="52">
        <v>8.935</v>
      </c>
      <c r="N23" s="6">
        <f t="shared" si="0"/>
        <v>92.91</v>
      </c>
    </row>
    <row r="24" customFormat="1" ht="17" customHeight="1" spans="1:14">
      <c r="A24" s="46">
        <v>22</v>
      </c>
      <c r="B24" s="51">
        <v>8.443</v>
      </c>
      <c r="C24" s="49">
        <v>8.665</v>
      </c>
      <c r="D24" s="49">
        <v>8.717</v>
      </c>
      <c r="E24" s="50">
        <v>8.682</v>
      </c>
      <c r="F24" s="50">
        <v>8.671</v>
      </c>
      <c r="G24" s="50">
        <v>9.022</v>
      </c>
      <c r="H24" s="50">
        <v>8.459</v>
      </c>
      <c r="I24" s="54">
        <v>8.825</v>
      </c>
      <c r="J24" s="54">
        <v>9.335</v>
      </c>
      <c r="K24" s="54">
        <v>9.392</v>
      </c>
      <c r="L24" s="50">
        <v>8.523</v>
      </c>
      <c r="M24" s="51">
        <v>8.954</v>
      </c>
      <c r="N24" s="6">
        <f t="shared" si="0"/>
        <v>93.92</v>
      </c>
    </row>
    <row r="25" customFormat="1" ht="17" customHeight="1" spans="1:14">
      <c r="A25" s="46">
        <v>23</v>
      </c>
      <c r="B25" s="52">
        <v>8.483</v>
      </c>
      <c r="C25" s="47">
        <v>8.892</v>
      </c>
      <c r="D25" s="47">
        <v>8.808</v>
      </c>
      <c r="E25" s="48">
        <v>8.745</v>
      </c>
      <c r="F25" s="48">
        <v>8.378</v>
      </c>
      <c r="G25" s="48">
        <v>8.401</v>
      </c>
      <c r="H25" s="48">
        <v>7.97</v>
      </c>
      <c r="I25" s="53">
        <v>8.526</v>
      </c>
      <c r="J25" s="53">
        <v>9.088</v>
      </c>
      <c r="K25" s="53">
        <v>9.318</v>
      </c>
      <c r="L25" s="48">
        <v>8.501</v>
      </c>
      <c r="M25" s="52">
        <v>8.974</v>
      </c>
      <c r="N25" s="6">
        <f t="shared" si="0"/>
        <v>93.18</v>
      </c>
    </row>
    <row r="26" customFormat="1" ht="17" customHeight="1" spans="1:14">
      <c r="A26" s="46">
        <v>24</v>
      </c>
      <c r="B26" s="51">
        <v>8.453</v>
      </c>
      <c r="C26" s="49">
        <v>8.954</v>
      </c>
      <c r="D26" s="49">
        <v>8.838</v>
      </c>
      <c r="E26" s="49">
        <v>8.856</v>
      </c>
      <c r="F26" s="50">
        <v>8.613</v>
      </c>
      <c r="G26" s="50">
        <v>8.35</v>
      </c>
      <c r="H26" s="50">
        <v>7.855</v>
      </c>
      <c r="I26" s="54">
        <v>8.12</v>
      </c>
      <c r="J26" s="54">
        <v>9.001</v>
      </c>
      <c r="K26" s="54">
        <v>9.244</v>
      </c>
      <c r="L26" s="50">
        <v>8.464</v>
      </c>
      <c r="M26" s="51">
        <v>9.043</v>
      </c>
      <c r="N26" s="6">
        <f t="shared" si="0"/>
        <v>92.44</v>
      </c>
    </row>
    <row r="27" customFormat="1" ht="17" customHeight="1" spans="1:14">
      <c r="A27" s="46">
        <v>25</v>
      </c>
      <c r="B27" s="52">
        <v>8.513</v>
      </c>
      <c r="C27" s="47">
        <v>8.759</v>
      </c>
      <c r="D27" s="47">
        <v>8.897</v>
      </c>
      <c r="E27" s="48">
        <v>8.785</v>
      </c>
      <c r="F27" s="48">
        <v>8.624</v>
      </c>
      <c r="G27" s="48">
        <v>8.839</v>
      </c>
      <c r="H27" s="48">
        <v>8.191</v>
      </c>
      <c r="I27" s="53">
        <v>8.686</v>
      </c>
      <c r="J27" s="53">
        <v>9.314</v>
      </c>
      <c r="K27" s="53">
        <v>9.233</v>
      </c>
      <c r="L27" s="48">
        <v>8.364</v>
      </c>
      <c r="M27" s="52">
        <v>8.937</v>
      </c>
      <c r="N27" s="6">
        <f t="shared" si="0"/>
        <v>93.14</v>
      </c>
    </row>
    <row r="28" customFormat="1" ht="17" customHeight="1" spans="1:14">
      <c r="A28" s="46">
        <v>26</v>
      </c>
      <c r="B28" s="51">
        <v>8.324</v>
      </c>
      <c r="C28" s="49">
        <v>8.509</v>
      </c>
      <c r="D28" s="49">
        <v>8.591</v>
      </c>
      <c r="E28" s="50">
        <v>8.41</v>
      </c>
      <c r="F28" s="50">
        <v>7.192</v>
      </c>
      <c r="G28" s="50">
        <v>7.438</v>
      </c>
      <c r="H28" s="50">
        <v>6.601</v>
      </c>
      <c r="I28" s="54">
        <v>7.31</v>
      </c>
      <c r="J28" s="54">
        <v>7.458</v>
      </c>
      <c r="K28" s="54">
        <v>7.568</v>
      </c>
      <c r="L28" s="50">
        <v>7.169</v>
      </c>
      <c r="M28" s="51">
        <v>7.539</v>
      </c>
      <c r="N28" s="6">
        <f t="shared" si="0"/>
        <v>85.91</v>
      </c>
    </row>
    <row r="29" customFormat="1" ht="17" customHeight="1" spans="1:14">
      <c r="A29" s="46">
        <v>27</v>
      </c>
      <c r="B29" s="48">
        <v>7.295</v>
      </c>
      <c r="C29" s="47">
        <v>7.51</v>
      </c>
      <c r="D29" s="47">
        <v>7.683</v>
      </c>
      <c r="E29" s="48">
        <v>7.833</v>
      </c>
      <c r="F29" s="48">
        <v>7.907</v>
      </c>
      <c r="G29" s="48">
        <v>8.831</v>
      </c>
      <c r="H29" s="48">
        <v>8.38</v>
      </c>
      <c r="I29" s="53">
        <v>9.131</v>
      </c>
      <c r="J29" s="53">
        <v>9.457</v>
      </c>
      <c r="K29" s="53">
        <v>9.452</v>
      </c>
      <c r="L29" s="48">
        <v>8.733</v>
      </c>
      <c r="M29" s="52">
        <v>8.741</v>
      </c>
      <c r="N29" s="6">
        <f t="shared" si="0"/>
        <v>94.57</v>
      </c>
    </row>
    <row r="30" customFormat="1" ht="17" customHeight="1" spans="1:14">
      <c r="A30" s="46">
        <v>28</v>
      </c>
      <c r="B30" s="51">
        <v>8.412</v>
      </c>
      <c r="C30" s="49">
        <v>8.745</v>
      </c>
      <c r="D30" s="49">
        <v>8.867</v>
      </c>
      <c r="E30" s="50">
        <v>8.755</v>
      </c>
      <c r="F30" s="50">
        <v>8.542</v>
      </c>
      <c r="G30" s="50">
        <v>8.745</v>
      </c>
      <c r="H30" s="50">
        <v>8.041</v>
      </c>
      <c r="I30" s="54">
        <v>8.37</v>
      </c>
      <c r="J30" s="54">
        <v>9.307</v>
      </c>
      <c r="K30" s="54">
        <v>9.64</v>
      </c>
      <c r="L30" s="50">
        <v>8.684</v>
      </c>
      <c r="M30" s="51">
        <v>9.046</v>
      </c>
      <c r="N30" s="6">
        <f t="shared" si="0"/>
        <v>96.4</v>
      </c>
    </row>
    <row r="31" customFormat="1" ht="17" customHeight="1" spans="1:14">
      <c r="A31" s="46">
        <v>29</v>
      </c>
      <c r="B31" s="52">
        <v>8.592</v>
      </c>
      <c r="C31" s="47">
        <v>8.829</v>
      </c>
      <c r="D31" s="47">
        <v>8.856</v>
      </c>
      <c r="E31" s="47">
        <v>8.843</v>
      </c>
      <c r="F31" s="48">
        <v>8.541</v>
      </c>
      <c r="G31" s="48">
        <v>9.371</v>
      </c>
      <c r="H31" s="48">
        <v>8.866</v>
      </c>
      <c r="I31" s="53">
        <v>8.98</v>
      </c>
      <c r="J31" s="53">
        <v>9.559</v>
      </c>
      <c r="K31" s="53">
        <v>9.511</v>
      </c>
      <c r="L31" s="48">
        <v>8.816</v>
      </c>
      <c r="M31" s="52">
        <v>9.142</v>
      </c>
      <c r="N31" s="6">
        <f t="shared" si="0"/>
        <v>95.59</v>
      </c>
    </row>
    <row r="32" customFormat="1" ht="17" customHeight="1" spans="1:14">
      <c r="A32" s="46">
        <v>30</v>
      </c>
      <c r="B32" s="51">
        <v>8.709</v>
      </c>
      <c r="C32" s="49">
        <v>8.937</v>
      </c>
      <c r="D32" s="49">
        <v>8.99</v>
      </c>
      <c r="E32" s="49">
        <v>8.908</v>
      </c>
      <c r="F32" s="50">
        <v>8.795</v>
      </c>
      <c r="G32" s="50">
        <v>9.592</v>
      </c>
      <c r="H32" s="50">
        <v>9.207</v>
      </c>
      <c r="I32" s="54">
        <v>9.568</v>
      </c>
      <c r="J32" s="54">
        <v>9.818</v>
      </c>
      <c r="K32" s="54">
        <v>9.714</v>
      </c>
      <c r="L32" s="50">
        <v>8.851</v>
      </c>
      <c r="M32" s="51">
        <v>9.12</v>
      </c>
      <c r="N32" s="6">
        <f t="shared" si="0"/>
        <v>98.18</v>
      </c>
    </row>
    <row r="33" ht="16.5" spans="1:14">
      <c r="A33" s="46">
        <v>31</v>
      </c>
      <c r="B33" s="52">
        <v>8.54</v>
      </c>
      <c r="C33" s="47">
        <v>9.008</v>
      </c>
      <c r="D33" s="47">
        <v>8.962</v>
      </c>
      <c r="E33" s="47">
        <v>8.912</v>
      </c>
      <c r="F33" s="48">
        <v>8.671</v>
      </c>
      <c r="G33" s="48">
        <v>9.455</v>
      </c>
      <c r="H33" s="48">
        <v>8.834</v>
      </c>
      <c r="I33" s="53">
        <v>9.284</v>
      </c>
      <c r="J33" s="53">
        <v>9.503</v>
      </c>
      <c r="K33" s="53">
        <v>9.619</v>
      </c>
      <c r="L33" s="48">
        <v>8.767</v>
      </c>
      <c r="M33" s="52">
        <v>9.056</v>
      </c>
      <c r="N33" s="6">
        <f t="shared" si="0"/>
        <v>96.19</v>
      </c>
    </row>
  </sheetData>
  <mergeCells count="1">
    <mergeCell ref="A1:M1"/>
  </mergeCells>
  <pageMargins left="0.75" right="0.75" top="1" bottom="1" header="0.511805555555556" footer="0.511805555555556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AB295"/>
  <sheetViews>
    <sheetView zoomScale="80" zoomScaleNormal="80" workbookViewId="0">
      <pane xSplit="3" ySplit="2" topLeftCell="J10" activePane="bottomRight" state="frozen"/>
      <selection/>
      <selection pane="topRight"/>
      <selection pane="bottomLeft"/>
      <selection pane="bottomRight" activeCell="AD103" sqref="AD103"/>
    </sheetView>
  </sheetViews>
  <sheetFormatPr defaultColWidth="9" defaultRowHeight="13.5"/>
  <cols>
    <col min="1" max="1" width="15.4666666666667" style="3" customWidth="1"/>
    <col min="2" max="2" width="15.375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9" style="6"/>
    <col min="29" max="31" width="9" style="4"/>
    <col min="32" max="16384" width="31.7166666666667" style="4"/>
  </cols>
  <sheetData>
    <row r="1" ht="64" customHeight="1" spans="1:28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="1" customFormat="1" ht="14.25" spans="1:28">
      <c r="A2" s="10" t="s">
        <v>10</v>
      </c>
      <c r="B2" s="11" t="s">
        <v>11</v>
      </c>
      <c r="C2" s="12" t="s">
        <v>12</v>
      </c>
      <c r="D2" s="13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4" t="s">
        <v>26</v>
      </c>
      <c r="R2" s="14" t="s">
        <v>27</v>
      </c>
      <c r="S2" s="14" t="s">
        <v>28</v>
      </c>
      <c r="T2" s="14" t="s">
        <v>29</v>
      </c>
      <c r="U2" s="14" t="s">
        <v>30</v>
      </c>
      <c r="V2" s="14" t="s">
        <v>31</v>
      </c>
      <c r="W2" s="14" t="s">
        <v>32</v>
      </c>
      <c r="X2" s="14" t="s">
        <v>33</v>
      </c>
      <c r="Y2" s="14" t="s">
        <v>34</v>
      </c>
      <c r="Z2" s="14" t="s">
        <v>35</v>
      </c>
      <c r="AA2" s="14" t="s">
        <v>36</v>
      </c>
      <c r="AB2" s="21"/>
    </row>
    <row r="3" s="1" customFormat="1" ht="20" hidden="1" customHeight="1" spans="1:27">
      <c r="A3" s="15">
        <v>45962</v>
      </c>
      <c r="B3" s="16">
        <v>4303121811816</v>
      </c>
      <c r="C3" s="17" t="s">
        <v>37</v>
      </c>
      <c r="D3" s="19">
        <v>86.1</v>
      </c>
      <c r="E3" s="19">
        <v>87.56</v>
      </c>
      <c r="F3" s="19">
        <v>88.9</v>
      </c>
      <c r="G3" s="19">
        <v>89</v>
      </c>
      <c r="H3" s="19">
        <v>89.55</v>
      </c>
      <c r="I3" s="19">
        <v>87.9</v>
      </c>
      <c r="J3" s="19">
        <v>84.22</v>
      </c>
      <c r="K3" s="19">
        <v>85.64</v>
      </c>
      <c r="L3" s="19">
        <v>88.67</v>
      </c>
      <c r="M3" s="19">
        <v>89.1</v>
      </c>
      <c r="N3" s="19">
        <v>87.52</v>
      </c>
      <c r="O3" s="19">
        <v>82.21</v>
      </c>
      <c r="P3" s="19">
        <v>80</v>
      </c>
      <c r="Q3" s="19">
        <v>86.55</v>
      </c>
      <c r="R3" s="19">
        <v>90.7</v>
      </c>
      <c r="S3" s="19">
        <v>93.65</v>
      </c>
      <c r="T3" s="19">
        <v>93.72</v>
      </c>
      <c r="U3" s="19">
        <v>93.11</v>
      </c>
      <c r="V3" s="19">
        <v>87.55</v>
      </c>
      <c r="W3" s="19">
        <v>83.46</v>
      </c>
      <c r="X3" s="19">
        <v>88.55</v>
      </c>
      <c r="Y3" s="19">
        <v>89.54</v>
      </c>
      <c r="Z3" s="19">
        <v>87.52</v>
      </c>
      <c r="AA3" s="19">
        <v>83.25</v>
      </c>
    </row>
    <row r="4" s="1" customFormat="1" ht="14.25" spans="1:28">
      <c r="A4" s="15"/>
      <c r="B4" s="16"/>
      <c r="C4" s="17" t="s">
        <v>38</v>
      </c>
      <c r="D4" s="19">
        <v>86.643</v>
      </c>
      <c r="E4" s="19">
        <v>88.1971</v>
      </c>
      <c r="F4" s="19">
        <v>89.8374</v>
      </c>
      <c r="G4" s="19">
        <v>89.8973</v>
      </c>
      <c r="H4" s="19">
        <v>89.3781</v>
      </c>
      <c r="I4" s="19">
        <v>89.3856</v>
      </c>
      <c r="J4" s="19">
        <v>86.6571</v>
      </c>
      <c r="K4" s="19">
        <v>87.201</v>
      </c>
      <c r="L4" s="19">
        <v>93.1322</v>
      </c>
      <c r="M4" s="19">
        <v>94.5877</v>
      </c>
      <c r="N4" s="19">
        <v>91.8491</v>
      </c>
      <c r="O4" s="19">
        <v>88.4224</v>
      </c>
      <c r="P4" s="19">
        <v>86.1995</v>
      </c>
      <c r="Q4" s="19">
        <v>93.9242</v>
      </c>
      <c r="R4" s="19">
        <v>94.6669</v>
      </c>
      <c r="S4" s="19">
        <v>95.6419</v>
      </c>
      <c r="T4" s="19">
        <v>94.9555</v>
      </c>
      <c r="U4" s="19">
        <v>93.889</v>
      </c>
      <c r="V4" s="19">
        <v>86.5744</v>
      </c>
      <c r="W4" s="19">
        <v>85.0854</v>
      </c>
      <c r="X4" s="19">
        <v>87.8627</v>
      </c>
      <c r="Y4" s="19">
        <v>88.3362</v>
      </c>
      <c r="Z4" s="19">
        <v>81.3824</v>
      </c>
      <c r="AA4" s="19">
        <v>82.9611</v>
      </c>
      <c r="AB4" s="21">
        <f>MAX(E4:AA4)</f>
        <v>95.6419</v>
      </c>
    </row>
    <row r="5" s="1" customFormat="1" ht="14.25" hidden="1" spans="1:27">
      <c r="A5" s="15"/>
      <c r="B5" s="16"/>
      <c r="C5" s="17" t="s">
        <v>39</v>
      </c>
      <c r="D5" s="19">
        <f>D3-D4</f>
        <v>-0.543000000000006</v>
      </c>
      <c r="E5" s="19">
        <f t="shared" ref="E5:AA5" si="0">E3-E4</f>
        <v>-0.637100000000004</v>
      </c>
      <c r="F5" s="19">
        <f t="shared" si="0"/>
        <v>-0.937399999999997</v>
      </c>
      <c r="G5" s="19">
        <f t="shared" si="0"/>
        <v>-0.897300000000001</v>
      </c>
      <c r="H5" s="19">
        <f t="shared" si="0"/>
        <v>0.171899999999994</v>
      </c>
      <c r="I5" s="19">
        <f t="shared" si="0"/>
        <v>-1.48559999999999</v>
      </c>
      <c r="J5" s="19">
        <f t="shared" si="0"/>
        <v>-2.4371</v>
      </c>
      <c r="K5" s="19">
        <f t="shared" si="0"/>
        <v>-1.56099999999999</v>
      </c>
      <c r="L5" s="19">
        <f t="shared" si="0"/>
        <v>-4.4622</v>
      </c>
      <c r="M5" s="19">
        <f t="shared" si="0"/>
        <v>-5.4877</v>
      </c>
      <c r="N5" s="19">
        <f t="shared" si="0"/>
        <v>-4.32910000000001</v>
      </c>
      <c r="O5" s="19">
        <f t="shared" si="0"/>
        <v>-6.2124</v>
      </c>
      <c r="P5" s="19">
        <f t="shared" si="0"/>
        <v>-6.1995</v>
      </c>
      <c r="Q5" s="19">
        <f t="shared" si="0"/>
        <v>-7.3742</v>
      </c>
      <c r="R5" s="19">
        <f t="shared" si="0"/>
        <v>-3.9669</v>
      </c>
      <c r="S5" s="19">
        <f t="shared" si="0"/>
        <v>-1.9919</v>
      </c>
      <c r="T5" s="19">
        <f t="shared" si="0"/>
        <v>-1.2355</v>
      </c>
      <c r="U5" s="19">
        <f t="shared" si="0"/>
        <v>-0.778999999999996</v>
      </c>
      <c r="V5" s="19">
        <f t="shared" si="0"/>
        <v>0.9756</v>
      </c>
      <c r="W5" s="19">
        <f t="shared" si="0"/>
        <v>-1.62540000000001</v>
      </c>
      <c r="X5" s="19">
        <f t="shared" si="0"/>
        <v>0.687299999999993</v>
      </c>
      <c r="Y5" s="19">
        <f t="shared" si="0"/>
        <v>1.2038</v>
      </c>
      <c r="Z5" s="19">
        <f t="shared" si="0"/>
        <v>6.13759999999999</v>
      </c>
      <c r="AA5" s="19">
        <f t="shared" si="0"/>
        <v>0.288899999999998</v>
      </c>
    </row>
    <row r="6" s="1" customFormat="1" ht="20" hidden="1" customHeight="1" spans="1:27">
      <c r="A6" s="15">
        <v>45963</v>
      </c>
      <c r="B6" s="38">
        <v>4303121811816</v>
      </c>
      <c r="C6" s="17" t="s">
        <v>37</v>
      </c>
      <c r="D6" s="20">
        <v>81.3</v>
      </c>
      <c r="E6" s="20">
        <v>83.65</v>
      </c>
      <c r="F6" s="20">
        <v>83.11</v>
      </c>
      <c r="G6" s="20">
        <v>81.54</v>
      </c>
      <c r="H6" s="20">
        <v>79.65</v>
      </c>
      <c r="I6" s="20">
        <v>78.62</v>
      </c>
      <c r="J6" s="20">
        <v>69.24</v>
      </c>
      <c r="K6" s="20">
        <v>61.25</v>
      </c>
      <c r="L6" s="20">
        <v>50.33</v>
      </c>
      <c r="M6" s="20">
        <v>50.1</v>
      </c>
      <c r="N6" s="20">
        <v>49.84</v>
      </c>
      <c r="O6" s="20">
        <v>48.62</v>
      </c>
      <c r="P6" s="20">
        <v>47.93</v>
      </c>
      <c r="Q6" s="20">
        <v>48.75</v>
      </c>
      <c r="R6" s="20">
        <v>49.8</v>
      </c>
      <c r="S6" s="20">
        <v>50.1</v>
      </c>
      <c r="T6" s="20">
        <v>50.31</v>
      </c>
      <c r="U6" s="20">
        <v>49.84</v>
      </c>
      <c r="V6" s="20">
        <v>51.23</v>
      </c>
      <c r="W6" s="20">
        <v>51.11</v>
      </c>
      <c r="X6" s="20">
        <v>51.33</v>
      </c>
      <c r="Y6" s="20">
        <v>52.86</v>
      </c>
      <c r="Z6" s="20">
        <v>55.61</v>
      </c>
      <c r="AA6" s="20">
        <v>59.28</v>
      </c>
    </row>
    <row r="7" s="1" customFormat="1" ht="14.25" spans="1:28">
      <c r="A7" s="39"/>
      <c r="B7" s="25"/>
      <c r="C7" s="40" t="s">
        <v>38</v>
      </c>
      <c r="D7" s="20">
        <v>81.8734</v>
      </c>
      <c r="E7" s="20">
        <v>85.1506</v>
      </c>
      <c r="F7" s="20">
        <v>86.0429</v>
      </c>
      <c r="G7" s="20">
        <v>83.8165</v>
      </c>
      <c r="H7" s="20">
        <v>81.965</v>
      </c>
      <c r="I7" s="20">
        <v>78.7142</v>
      </c>
      <c r="J7" s="20">
        <v>70.5778</v>
      </c>
      <c r="K7" s="20">
        <v>56.225</v>
      </c>
      <c r="L7" s="20">
        <v>55.433</v>
      </c>
      <c r="M7" s="20">
        <v>53.9845</v>
      </c>
      <c r="N7" s="20">
        <v>52.6205</v>
      </c>
      <c r="O7" s="20">
        <v>51.6542</v>
      </c>
      <c r="P7" s="20">
        <v>52.9619</v>
      </c>
      <c r="Q7" s="20">
        <v>53.8138</v>
      </c>
      <c r="R7" s="20">
        <v>51.174</v>
      </c>
      <c r="S7" s="20">
        <v>56.3869</v>
      </c>
      <c r="T7" s="20">
        <v>57.2405</v>
      </c>
      <c r="U7" s="20">
        <v>56.1053</v>
      </c>
      <c r="V7" s="20">
        <v>55.4312</v>
      </c>
      <c r="W7" s="20">
        <v>58.7118</v>
      </c>
      <c r="X7" s="20">
        <v>64.3984</v>
      </c>
      <c r="Y7" s="20">
        <v>65.0602</v>
      </c>
      <c r="Z7" s="20">
        <v>65.8786</v>
      </c>
      <c r="AA7" s="20">
        <v>61.5683</v>
      </c>
      <c r="AB7" s="21">
        <f>MAX(E7:AA7)</f>
        <v>86.0429</v>
      </c>
    </row>
    <row r="8" s="1" customFormat="1" ht="14.25" hidden="1" spans="1:27">
      <c r="A8" s="15"/>
      <c r="B8" s="41"/>
      <c r="C8" s="17" t="s">
        <v>39</v>
      </c>
      <c r="D8" s="20">
        <f t="shared" ref="D8:AA8" si="1">D6-D7</f>
        <v>-0.573400000000007</v>
      </c>
      <c r="E8" s="20">
        <f t="shared" si="1"/>
        <v>-1.50059999999999</v>
      </c>
      <c r="F8" s="20">
        <f t="shared" si="1"/>
        <v>-2.9329</v>
      </c>
      <c r="G8" s="20">
        <f t="shared" si="1"/>
        <v>-2.2765</v>
      </c>
      <c r="H8" s="20">
        <f t="shared" si="1"/>
        <v>-2.315</v>
      </c>
      <c r="I8" s="20">
        <f t="shared" si="1"/>
        <v>-0.0942000000000007</v>
      </c>
      <c r="J8" s="20">
        <f t="shared" si="1"/>
        <v>-1.3378</v>
      </c>
      <c r="K8" s="20">
        <f t="shared" si="1"/>
        <v>5.025</v>
      </c>
      <c r="L8" s="20">
        <f t="shared" si="1"/>
        <v>-5.103</v>
      </c>
      <c r="M8" s="20">
        <f t="shared" si="1"/>
        <v>-3.8845</v>
      </c>
      <c r="N8" s="20">
        <f t="shared" si="1"/>
        <v>-2.7805</v>
      </c>
      <c r="O8" s="20">
        <f t="shared" si="1"/>
        <v>-3.03420000000001</v>
      </c>
      <c r="P8" s="20">
        <f t="shared" si="1"/>
        <v>-5.0319</v>
      </c>
      <c r="Q8" s="20">
        <f t="shared" si="1"/>
        <v>-5.0638</v>
      </c>
      <c r="R8" s="20">
        <f t="shared" si="1"/>
        <v>-1.374</v>
      </c>
      <c r="S8" s="20">
        <f t="shared" si="1"/>
        <v>-6.2869</v>
      </c>
      <c r="T8" s="20">
        <f t="shared" si="1"/>
        <v>-6.93049999999999</v>
      </c>
      <c r="U8" s="20">
        <f t="shared" si="1"/>
        <v>-6.2653</v>
      </c>
      <c r="V8" s="20">
        <f t="shared" si="1"/>
        <v>-4.2012</v>
      </c>
      <c r="W8" s="20">
        <f t="shared" si="1"/>
        <v>-7.6018</v>
      </c>
      <c r="X8" s="20">
        <f t="shared" si="1"/>
        <v>-13.0684</v>
      </c>
      <c r="Y8" s="20">
        <f t="shared" si="1"/>
        <v>-12.2002</v>
      </c>
      <c r="Z8" s="20">
        <f t="shared" si="1"/>
        <v>-10.2686</v>
      </c>
      <c r="AA8" s="20">
        <f t="shared" si="1"/>
        <v>-2.2883</v>
      </c>
    </row>
    <row r="9" s="1" customFormat="1" ht="20" hidden="1" customHeight="1" spans="1:27">
      <c r="A9" s="15">
        <v>45964</v>
      </c>
      <c r="B9" s="38">
        <v>4303121811816</v>
      </c>
      <c r="C9" s="17" t="s">
        <v>37</v>
      </c>
      <c r="D9" s="19">
        <v>57.66</v>
      </c>
      <c r="E9" s="19">
        <v>57.54</v>
      </c>
      <c r="F9" s="19">
        <v>56.98</v>
      </c>
      <c r="G9" s="19">
        <v>57.12</v>
      </c>
      <c r="H9" s="19">
        <v>57.43</v>
      </c>
      <c r="I9" s="19">
        <v>55.42</v>
      </c>
      <c r="J9" s="19">
        <v>62.43</v>
      </c>
      <c r="K9" s="19">
        <v>75.46</v>
      </c>
      <c r="L9" s="19">
        <v>87.56</v>
      </c>
      <c r="M9" s="19">
        <v>89.77</v>
      </c>
      <c r="N9" s="19">
        <v>87.86</v>
      </c>
      <c r="O9" s="19">
        <v>85.66</v>
      </c>
      <c r="P9" s="19">
        <v>86.12</v>
      </c>
      <c r="Q9" s="19">
        <v>88.85</v>
      </c>
      <c r="R9" s="19">
        <v>89.96</v>
      </c>
      <c r="S9" s="19">
        <v>89.57</v>
      </c>
      <c r="T9" s="19">
        <v>89.76</v>
      </c>
      <c r="U9" s="19">
        <v>90.55</v>
      </c>
      <c r="V9" s="19">
        <v>89.57</v>
      </c>
      <c r="W9" s="19">
        <v>84.67</v>
      </c>
      <c r="X9" s="19">
        <v>89.16</v>
      </c>
      <c r="Y9" s="19">
        <v>88.96</v>
      </c>
      <c r="Z9" s="19">
        <v>87.61</v>
      </c>
      <c r="AA9" s="19">
        <v>85.27</v>
      </c>
    </row>
    <row r="10" s="1" customFormat="1" ht="14.25" spans="1:28">
      <c r="A10" s="39"/>
      <c r="B10" s="25"/>
      <c r="C10" s="40" t="s">
        <v>38</v>
      </c>
      <c r="D10" s="19">
        <v>62.8091</v>
      </c>
      <c r="E10" s="19">
        <v>65.3558</v>
      </c>
      <c r="F10" s="19">
        <v>65.5336</v>
      </c>
      <c r="G10" s="19">
        <v>65.7008</v>
      </c>
      <c r="H10" s="19">
        <v>67.0208</v>
      </c>
      <c r="I10" s="19">
        <v>68.9462</v>
      </c>
      <c r="J10" s="19">
        <v>72.783</v>
      </c>
      <c r="K10" s="19">
        <v>80.4415</v>
      </c>
      <c r="L10" s="19">
        <v>92.1078</v>
      </c>
      <c r="M10" s="19">
        <v>93.6918</v>
      </c>
      <c r="N10" s="19">
        <v>94.0843</v>
      </c>
      <c r="O10" s="19">
        <v>88.0792</v>
      </c>
      <c r="P10" s="19">
        <v>96.775</v>
      </c>
      <c r="Q10" s="19">
        <v>93.3346</v>
      </c>
      <c r="R10" s="19">
        <v>94.8165</v>
      </c>
      <c r="S10" s="19">
        <v>95.4958</v>
      </c>
      <c r="T10" s="19">
        <v>95.3938</v>
      </c>
      <c r="U10" s="19">
        <v>94.3536</v>
      </c>
      <c r="V10" s="19">
        <v>88.6441</v>
      </c>
      <c r="W10" s="19">
        <v>87.0795</v>
      </c>
      <c r="X10" s="19">
        <v>89.5541</v>
      </c>
      <c r="Y10" s="19">
        <v>90.119</v>
      </c>
      <c r="Z10" s="19">
        <v>88.5403</v>
      </c>
      <c r="AA10" s="19">
        <v>83.4539</v>
      </c>
      <c r="AB10" s="21">
        <f>MAX(E10:AA10)</f>
        <v>96.775</v>
      </c>
    </row>
    <row r="11" s="1" customFormat="1" ht="14.25" hidden="1" spans="1:27">
      <c r="A11" s="15"/>
      <c r="B11" s="41"/>
      <c r="C11" s="17" t="s">
        <v>39</v>
      </c>
      <c r="D11" s="19">
        <f t="shared" ref="D11:AA11" si="2">D9-D10</f>
        <v>-5.1491</v>
      </c>
      <c r="E11" s="19">
        <f t="shared" si="2"/>
        <v>-7.8158</v>
      </c>
      <c r="F11" s="19">
        <f t="shared" si="2"/>
        <v>-8.55360000000001</v>
      </c>
      <c r="G11" s="19">
        <f t="shared" si="2"/>
        <v>-8.5808</v>
      </c>
      <c r="H11" s="19">
        <f t="shared" si="2"/>
        <v>-9.59079999999999</v>
      </c>
      <c r="I11" s="19">
        <f t="shared" si="2"/>
        <v>-13.5262</v>
      </c>
      <c r="J11" s="19">
        <f t="shared" si="2"/>
        <v>-10.353</v>
      </c>
      <c r="K11" s="19">
        <f t="shared" si="2"/>
        <v>-4.98150000000001</v>
      </c>
      <c r="L11" s="19">
        <f t="shared" si="2"/>
        <v>-4.5478</v>
      </c>
      <c r="M11" s="19">
        <f t="shared" si="2"/>
        <v>-3.9218</v>
      </c>
      <c r="N11" s="19">
        <f t="shared" si="2"/>
        <v>-6.2243</v>
      </c>
      <c r="O11" s="19">
        <f t="shared" si="2"/>
        <v>-2.4192</v>
      </c>
      <c r="P11" s="19">
        <f t="shared" si="2"/>
        <v>-10.655</v>
      </c>
      <c r="Q11" s="19">
        <f t="shared" si="2"/>
        <v>-4.4846</v>
      </c>
      <c r="R11" s="19">
        <f t="shared" si="2"/>
        <v>-4.85650000000001</v>
      </c>
      <c r="S11" s="19">
        <f t="shared" si="2"/>
        <v>-5.92580000000001</v>
      </c>
      <c r="T11" s="19">
        <f t="shared" si="2"/>
        <v>-5.63379999999999</v>
      </c>
      <c r="U11" s="19">
        <f t="shared" si="2"/>
        <v>-3.8036</v>
      </c>
      <c r="V11" s="19">
        <f t="shared" si="2"/>
        <v>0.925899999999999</v>
      </c>
      <c r="W11" s="19">
        <f t="shared" si="2"/>
        <v>-2.40949999999999</v>
      </c>
      <c r="X11" s="19">
        <f t="shared" si="2"/>
        <v>-0.394100000000009</v>
      </c>
      <c r="Y11" s="19">
        <f t="shared" si="2"/>
        <v>-1.15900000000001</v>
      </c>
      <c r="Z11" s="19">
        <f t="shared" si="2"/>
        <v>-0.930300000000003</v>
      </c>
      <c r="AA11" s="19">
        <f t="shared" si="2"/>
        <v>1.81609999999999</v>
      </c>
    </row>
    <row r="12" s="1" customFormat="1" ht="20" hidden="1" customHeight="1" spans="1:27">
      <c r="A12" s="15">
        <v>45965</v>
      </c>
      <c r="B12" s="38">
        <v>4303121811816</v>
      </c>
      <c r="C12" s="17" t="s">
        <v>37</v>
      </c>
      <c r="D12" s="20">
        <v>84.35</v>
      </c>
      <c r="E12" s="20">
        <v>87.57</v>
      </c>
      <c r="F12" s="20">
        <v>88.35</v>
      </c>
      <c r="G12" s="20">
        <v>88.7</v>
      </c>
      <c r="H12" s="20">
        <v>88.85</v>
      </c>
      <c r="I12" s="20">
        <v>87.28</v>
      </c>
      <c r="J12" s="20">
        <v>85.22</v>
      </c>
      <c r="K12" s="20">
        <v>86.13</v>
      </c>
      <c r="L12" s="20">
        <v>88.69</v>
      </c>
      <c r="M12" s="20">
        <v>88.84</v>
      </c>
      <c r="N12" s="20">
        <v>88.25</v>
      </c>
      <c r="O12" s="20">
        <v>84.32</v>
      </c>
      <c r="P12" s="20">
        <v>83.12</v>
      </c>
      <c r="Q12" s="20">
        <v>85.68</v>
      </c>
      <c r="R12" s="20">
        <v>89.12</v>
      </c>
      <c r="S12" s="20">
        <v>90.58</v>
      </c>
      <c r="T12" s="20">
        <v>91.25</v>
      </c>
      <c r="U12" s="20">
        <v>91.34</v>
      </c>
      <c r="V12" s="20">
        <v>90.46</v>
      </c>
      <c r="W12" s="20">
        <v>88.38</v>
      </c>
      <c r="X12" s="20">
        <v>91.43</v>
      </c>
      <c r="Y12" s="20">
        <v>90.64</v>
      </c>
      <c r="Z12" s="20">
        <v>89.38</v>
      </c>
      <c r="AA12" s="20">
        <v>86.21</v>
      </c>
    </row>
    <row r="13" s="1" customFormat="1" ht="14.25" spans="1:28">
      <c r="A13" s="39"/>
      <c r="B13" s="25"/>
      <c r="C13" s="40" t="s">
        <v>38</v>
      </c>
      <c r="D13" s="20">
        <v>84.5486</v>
      </c>
      <c r="E13" s="20">
        <v>88.0898</v>
      </c>
      <c r="F13" s="20">
        <v>88.4453</v>
      </c>
      <c r="G13" s="20">
        <v>88.4805</v>
      </c>
      <c r="H13" s="20">
        <v>89.0067</v>
      </c>
      <c r="I13" s="20">
        <v>86.9229</v>
      </c>
      <c r="J13" s="20">
        <v>85.184</v>
      </c>
      <c r="K13" s="20">
        <v>87.5741</v>
      </c>
      <c r="L13" s="20">
        <v>93.8714</v>
      </c>
      <c r="M13" s="20">
        <v>91.3176</v>
      </c>
      <c r="N13" s="20">
        <v>89.3288</v>
      </c>
      <c r="O13" s="20">
        <v>80.8773</v>
      </c>
      <c r="P13" s="20">
        <v>82.6654</v>
      </c>
      <c r="Q13" s="20">
        <v>89.5858</v>
      </c>
      <c r="R13" s="20">
        <v>93.7394</v>
      </c>
      <c r="S13" s="20">
        <v>94.8077</v>
      </c>
      <c r="T13" s="20">
        <v>96.4533</v>
      </c>
      <c r="U13" s="20">
        <v>95.7581</v>
      </c>
      <c r="V13" s="20">
        <v>87.9525</v>
      </c>
      <c r="W13" s="20">
        <v>84.0224</v>
      </c>
      <c r="X13" s="20">
        <v>89.3851</v>
      </c>
      <c r="Y13" s="20">
        <v>89.5312</v>
      </c>
      <c r="Z13" s="20">
        <v>88.2323</v>
      </c>
      <c r="AA13" s="20">
        <v>85.0203</v>
      </c>
      <c r="AB13" s="21">
        <f>MAX(E13:AA13)</f>
        <v>96.4533</v>
      </c>
    </row>
    <row r="14" s="1" customFormat="1" ht="14.25" hidden="1" spans="1:27">
      <c r="A14" s="15"/>
      <c r="B14" s="41"/>
      <c r="C14" s="17" t="s">
        <v>39</v>
      </c>
      <c r="D14" s="20">
        <f t="shared" ref="D14:AA14" si="3">D12-D13</f>
        <v>-0.198599999999999</v>
      </c>
      <c r="E14" s="20">
        <f t="shared" si="3"/>
        <v>-0.519800000000004</v>
      </c>
      <c r="F14" s="20">
        <f t="shared" si="3"/>
        <v>-0.0953000000000088</v>
      </c>
      <c r="G14" s="20">
        <f t="shared" si="3"/>
        <v>0.219499999999996</v>
      </c>
      <c r="H14" s="20">
        <f t="shared" si="3"/>
        <v>-0.156700000000001</v>
      </c>
      <c r="I14" s="20">
        <f t="shared" si="3"/>
        <v>0.357100000000003</v>
      </c>
      <c r="J14" s="20">
        <f t="shared" si="3"/>
        <v>0.0360000000000014</v>
      </c>
      <c r="K14" s="20">
        <f t="shared" si="3"/>
        <v>-1.44410000000001</v>
      </c>
      <c r="L14" s="20">
        <f t="shared" si="3"/>
        <v>-5.1814</v>
      </c>
      <c r="M14" s="20">
        <f t="shared" si="3"/>
        <v>-2.4776</v>
      </c>
      <c r="N14" s="20">
        <f t="shared" si="3"/>
        <v>-1.0788</v>
      </c>
      <c r="O14" s="20">
        <f t="shared" si="3"/>
        <v>3.44269999999999</v>
      </c>
      <c r="P14" s="20">
        <f t="shared" si="3"/>
        <v>0.454599999999999</v>
      </c>
      <c r="Q14" s="20">
        <f t="shared" si="3"/>
        <v>-3.9058</v>
      </c>
      <c r="R14" s="20">
        <f t="shared" si="3"/>
        <v>-4.6194</v>
      </c>
      <c r="S14" s="20">
        <f t="shared" si="3"/>
        <v>-4.2277</v>
      </c>
      <c r="T14" s="20">
        <f t="shared" si="3"/>
        <v>-5.2033</v>
      </c>
      <c r="U14" s="20">
        <f t="shared" si="3"/>
        <v>-4.4181</v>
      </c>
      <c r="V14" s="20">
        <f t="shared" si="3"/>
        <v>2.50749999999999</v>
      </c>
      <c r="W14" s="20">
        <f t="shared" si="3"/>
        <v>4.35759999999999</v>
      </c>
      <c r="X14" s="20">
        <f t="shared" si="3"/>
        <v>2.04490000000001</v>
      </c>
      <c r="Y14" s="20">
        <f t="shared" si="3"/>
        <v>1.1088</v>
      </c>
      <c r="Z14" s="20">
        <f t="shared" si="3"/>
        <v>1.1477</v>
      </c>
      <c r="AA14" s="20">
        <f t="shared" si="3"/>
        <v>1.18969999999999</v>
      </c>
    </row>
    <row r="15" s="1" customFormat="1" ht="20" hidden="1" customHeight="1" spans="1:27">
      <c r="A15" s="15">
        <v>45966</v>
      </c>
      <c r="B15" s="38">
        <v>4303121811816</v>
      </c>
      <c r="C15" s="17" t="s">
        <v>37</v>
      </c>
      <c r="D15" s="19">
        <v>86.56</v>
      </c>
      <c r="E15" s="19">
        <v>87.62</v>
      </c>
      <c r="F15" s="19">
        <v>87.95</v>
      </c>
      <c r="G15" s="19">
        <v>88.66</v>
      </c>
      <c r="H15" s="19">
        <v>88.92</v>
      </c>
      <c r="I15" s="19">
        <v>87.31</v>
      </c>
      <c r="J15" s="19">
        <v>85.32</v>
      </c>
      <c r="K15" s="19">
        <v>85.98</v>
      </c>
      <c r="L15" s="19">
        <v>87.24</v>
      </c>
      <c r="M15" s="19">
        <v>88.92</v>
      </c>
      <c r="N15" s="19">
        <v>88.54</v>
      </c>
      <c r="O15" s="19">
        <v>84.24</v>
      </c>
      <c r="P15" s="19">
        <v>83.22</v>
      </c>
      <c r="Q15" s="19">
        <v>85.71</v>
      </c>
      <c r="R15" s="19">
        <v>89.21</v>
      </c>
      <c r="S15" s="19">
        <v>90.88</v>
      </c>
      <c r="T15" s="19">
        <v>91.22</v>
      </c>
      <c r="U15" s="19">
        <v>91.12</v>
      </c>
      <c r="V15" s="19">
        <v>90.61</v>
      </c>
      <c r="W15" s="19">
        <v>88.75</v>
      </c>
      <c r="X15" s="19">
        <v>91.22</v>
      </c>
      <c r="Y15" s="19">
        <v>90.54</v>
      </c>
      <c r="Z15" s="19">
        <v>89.44</v>
      </c>
      <c r="AA15" s="19">
        <v>86.13</v>
      </c>
    </row>
    <row r="16" s="1" customFormat="1" ht="14.25" spans="1:28">
      <c r="A16" s="39"/>
      <c r="B16" s="25"/>
      <c r="C16" s="40" t="s">
        <v>38</v>
      </c>
      <c r="D16" s="19">
        <v>85.3002</v>
      </c>
      <c r="E16" s="19">
        <v>89.2038</v>
      </c>
      <c r="F16" s="19">
        <v>88.6811</v>
      </c>
      <c r="G16" s="19">
        <v>88.0827</v>
      </c>
      <c r="H16" s="19">
        <v>88.8395</v>
      </c>
      <c r="I16" s="19">
        <v>87.9366</v>
      </c>
      <c r="J16" s="19">
        <v>83.6722</v>
      </c>
      <c r="K16" s="19">
        <v>85.3037</v>
      </c>
      <c r="L16" s="19">
        <v>90.6576</v>
      </c>
      <c r="M16" s="19">
        <v>87.2872</v>
      </c>
      <c r="N16" s="19">
        <v>85.6275</v>
      </c>
      <c r="O16" s="19">
        <v>77.6533</v>
      </c>
      <c r="P16" s="19">
        <v>78.8445</v>
      </c>
      <c r="Q16" s="19">
        <v>85.9232</v>
      </c>
      <c r="R16" s="19">
        <v>91.1698</v>
      </c>
      <c r="S16" s="19">
        <v>96.1189</v>
      </c>
      <c r="T16" s="19">
        <v>96.6598</v>
      </c>
      <c r="U16" s="19">
        <v>96.0133</v>
      </c>
      <c r="V16" s="19">
        <v>90.4077</v>
      </c>
      <c r="W16" s="19">
        <v>85.5342</v>
      </c>
      <c r="X16" s="19">
        <v>90.8899</v>
      </c>
      <c r="Y16" s="19">
        <v>89.8093</v>
      </c>
      <c r="Z16" s="19">
        <v>89.1299</v>
      </c>
      <c r="AA16" s="19">
        <v>85.0608</v>
      </c>
      <c r="AB16" s="21">
        <f>MAX(E16:AA16)</f>
        <v>96.6598</v>
      </c>
    </row>
    <row r="17" s="1" customFormat="1" ht="14.25" hidden="1" spans="1:27">
      <c r="A17" s="15"/>
      <c r="B17" s="41"/>
      <c r="C17" s="17" t="s">
        <v>39</v>
      </c>
      <c r="D17" s="19">
        <f t="shared" ref="D17:AA17" si="4">D15-D16</f>
        <v>1.2598</v>
      </c>
      <c r="E17" s="19">
        <f t="shared" si="4"/>
        <v>-1.5838</v>
      </c>
      <c r="F17" s="19">
        <f t="shared" si="4"/>
        <v>-0.731099999999998</v>
      </c>
      <c r="G17" s="19">
        <f t="shared" si="4"/>
        <v>0.577299999999994</v>
      </c>
      <c r="H17" s="19">
        <f t="shared" si="4"/>
        <v>0.0805000000000007</v>
      </c>
      <c r="I17" s="19">
        <f t="shared" si="4"/>
        <v>-0.626599999999996</v>
      </c>
      <c r="J17" s="19">
        <f t="shared" si="4"/>
        <v>1.64779999999999</v>
      </c>
      <c r="K17" s="19">
        <f t="shared" si="4"/>
        <v>0.676299999999998</v>
      </c>
      <c r="L17" s="19">
        <f t="shared" si="4"/>
        <v>-3.41760000000001</v>
      </c>
      <c r="M17" s="19">
        <f t="shared" si="4"/>
        <v>1.6328</v>
      </c>
      <c r="N17" s="19">
        <f t="shared" si="4"/>
        <v>2.91250000000001</v>
      </c>
      <c r="O17" s="19">
        <f t="shared" si="4"/>
        <v>6.58669999999999</v>
      </c>
      <c r="P17" s="19">
        <f t="shared" si="4"/>
        <v>4.3755</v>
      </c>
      <c r="Q17" s="19">
        <f t="shared" si="4"/>
        <v>-0.213200000000001</v>
      </c>
      <c r="R17" s="19">
        <f t="shared" si="4"/>
        <v>-1.9598</v>
      </c>
      <c r="S17" s="19">
        <f t="shared" si="4"/>
        <v>-5.2389</v>
      </c>
      <c r="T17" s="19">
        <f t="shared" si="4"/>
        <v>-5.43980000000001</v>
      </c>
      <c r="U17" s="19">
        <f t="shared" si="4"/>
        <v>-4.8933</v>
      </c>
      <c r="V17" s="19">
        <f t="shared" si="4"/>
        <v>0.202299999999994</v>
      </c>
      <c r="W17" s="19">
        <f t="shared" si="4"/>
        <v>3.2158</v>
      </c>
      <c r="X17" s="19">
        <f t="shared" si="4"/>
        <v>0.330100000000002</v>
      </c>
      <c r="Y17" s="19">
        <f t="shared" si="4"/>
        <v>0.730700000000013</v>
      </c>
      <c r="Z17" s="19">
        <f t="shared" si="4"/>
        <v>0.310099999999991</v>
      </c>
      <c r="AA17" s="19">
        <f t="shared" si="4"/>
        <v>1.0692</v>
      </c>
    </row>
    <row r="18" s="1" customFormat="1" ht="20" hidden="1" customHeight="1" spans="1:27">
      <c r="A18" s="15">
        <v>45967</v>
      </c>
      <c r="B18" s="38">
        <v>4303121811816</v>
      </c>
      <c r="C18" s="17" t="s">
        <v>37</v>
      </c>
      <c r="D18" s="20">
        <v>86.41</v>
      </c>
      <c r="E18" s="20">
        <v>87.54</v>
      </c>
      <c r="F18" s="20">
        <v>87.76</v>
      </c>
      <c r="G18" s="20">
        <v>88.52</v>
      </c>
      <c r="H18" s="20">
        <v>88.86</v>
      </c>
      <c r="I18" s="20">
        <v>87.45</v>
      </c>
      <c r="J18" s="20">
        <v>85.45</v>
      </c>
      <c r="K18" s="20">
        <v>86.11</v>
      </c>
      <c r="L18" s="20">
        <v>87.34</v>
      </c>
      <c r="M18" s="20">
        <v>88.71</v>
      </c>
      <c r="N18" s="20">
        <v>88.64</v>
      </c>
      <c r="O18" s="20">
        <v>84.31</v>
      </c>
      <c r="P18" s="20">
        <v>83.18</v>
      </c>
      <c r="Q18" s="20">
        <v>85.68</v>
      </c>
      <c r="R18" s="20">
        <v>89.18</v>
      </c>
      <c r="S18" s="20">
        <v>90.76</v>
      </c>
      <c r="T18" s="20">
        <v>91.33</v>
      </c>
      <c r="U18" s="20">
        <v>91.24</v>
      </c>
      <c r="V18" s="20">
        <v>90.58</v>
      </c>
      <c r="W18" s="20">
        <v>88.66</v>
      </c>
      <c r="X18" s="20">
        <v>91.31</v>
      </c>
      <c r="Y18" s="20">
        <v>90.48</v>
      </c>
      <c r="Z18" s="20">
        <v>89.51</v>
      </c>
      <c r="AA18" s="20">
        <v>86.28</v>
      </c>
    </row>
    <row r="19" s="1" customFormat="1" ht="14.25" spans="1:28">
      <c r="A19" s="39"/>
      <c r="B19" s="25"/>
      <c r="C19" s="40" t="s">
        <v>38</v>
      </c>
      <c r="D19" s="20">
        <v>85.0819</v>
      </c>
      <c r="E19" s="20">
        <v>88.3274</v>
      </c>
      <c r="F19" s="20">
        <v>89.5523</v>
      </c>
      <c r="G19" s="20">
        <v>89.6526</v>
      </c>
      <c r="H19" s="20">
        <v>88.1426</v>
      </c>
      <c r="I19" s="20">
        <v>87.2766</v>
      </c>
      <c r="J19" s="20">
        <v>85.2878</v>
      </c>
      <c r="K19" s="20">
        <v>86.0939</v>
      </c>
      <c r="L19" s="20">
        <v>93.7429</v>
      </c>
      <c r="M19" s="20">
        <v>94.5842</v>
      </c>
      <c r="N19" s="20">
        <v>92.9421</v>
      </c>
      <c r="O19" s="20">
        <v>88.3942</v>
      </c>
      <c r="P19" s="20">
        <v>93.4636</v>
      </c>
      <c r="Q19" s="20">
        <v>94.2427</v>
      </c>
      <c r="R19" s="20">
        <v>95.3445</v>
      </c>
      <c r="S19" s="20">
        <v>97.013</v>
      </c>
      <c r="T19" s="20">
        <v>97.9299</v>
      </c>
      <c r="U19" s="20">
        <v>96.2069</v>
      </c>
      <c r="V19" s="20">
        <v>91.3053</v>
      </c>
      <c r="W19" s="20">
        <v>87.4843</v>
      </c>
      <c r="X19" s="20">
        <v>91.7488</v>
      </c>
      <c r="Y19" s="20">
        <v>91.483</v>
      </c>
      <c r="Z19" s="20">
        <v>89.98</v>
      </c>
      <c r="AA19" s="20">
        <v>85.2614</v>
      </c>
      <c r="AB19" s="21">
        <f>MAX(E19:AA19)</f>
        <v>97.9299</v>
      </c>
    </row>
    <row r="20" s="1" customFormat="1" ht="14.25" hidden="1" spans="1:27">
      <c r="A20" s="15"/>
      <c r="B20" s="41"/>
      <c r="C20" s="17" t="s">
        <v>39</v>
      </c>
      <c r="D20" s="20">
        <f>D18-D19</f>
        <v>1.32809999999999</v>
      </c>
      <c r="E20" s="20">
        <f t="shared" ref="D20:AA20" si="5">E18-E19</f>
        <v>-0.787399999999991</v>
      </c>
      <c r="F20" s="20">
        <f t="shared" si="5"/>
        <v>-1.7923</v>
      </c>
      <c r="G20" s="20">
        <f t="shared" si="5"/>
        <v>-1.13260000000001</v>
      </c>
      <c r="H20" s="20">
        <f t="shared" si="5"/>
        <v>0.717399999999998</v>
      </c>
      <c r="I20" s="20">
        <f t="shared" si="5"/>
        <v>0.173400000000001</v>
      </c>
      <c r="J20" s="20">
        <f t="shared" si="5"/>
        <v>0.162199999999999</v>
      </c>
      <c r="K20" s="20">
        <f t="shared" si="5"/>
        <v>0.0160999999999945</v>
      </c>
      <c r="L20" s="20">
        <f t="shared" si="5"/>
        <v>-6.4029</v>
      </c>
      <c r="M20" s="20">
        <f t="shared" si="5"/>
        <v>-5.8742</v>
      </c>
      <c r="N20" s="20">
        <f t="shared" si="5"/>
        <v>-4.3021</v>
      </c>
      <c r="O20" s="20">
        <f t="shared" si="5"/>
        <v>-4.0842</v>
      </c>
      <c r="P20" s="20">
        <f t="shared" si="5"/>
        <v>-10.2836</v>
      </c>
      <c r="Q20" s="20">
        <f t="shared" si="5"/>
        <v>-8.56269999999999</v>
      </c>
      <c r="R20" s="20">
        <f t="shared" si="5"/>
        <v>-6.16449999999999</v>
      </c>
      <c r="S20" s="20">
        <f t="shared" si="5"/>
        <v>-6.253</v>
      </c>
      <c r="T20" s="20">
        <f t="shared" si="5"/>
        <v>-6.59990000000001</v>
      </c>
      <c r="U20" s="20">
        <f t="shared" si="5"/>
        <v>-4.96690000000001</v>
      </c>
      <c r="V20" s="20">
        <f t="shared" si="5"/>
        <v>-0.725300000000004</v>
      </c>
      <c r="W20" s="20">
        <f t="shared" si="5"/>
        <v>1.17569999999999</v>
      </c>
      <c r="X20" s="20">
        <f t="shared" si="5"/>
        <v>-0.438800000000001</v>
      </c>
      <c r="Y20" s="20">
        <f t="shared" si="5"/>
        <v>-1.003</v>
      </c>
      <c r="Z20" s="20">
        <f t="shared" si="5"/>
        <v>-0.469999999999999</v>
      </c>
      <c r="AA20" s="20">
        <f t="shared" si="5"/>
        <v>1.01860000000001</v>
      </c>
    </row>
    <row r="21" s="1" customFormat="1" ht="20" hidden="1" customHeight="1" spans="1:27">
      <c r="A21" s="15">
        <v>45968</v>
      </c>
      <c r="B21" s="38">
        <v>4303121811816</v>
      </c>
      <c r="C21" s="17" t="s">
        <v>37</v>
      </c>
      <c r="D21" s="19">
        <v>86.55</v>
      </c>
      <c r="E21" s="19">
        <v>87.65</v>
      </c>
      <c r="F21" s="19">
        <v>87.81</v>
      </c>
      <c r="G21" s="19">
        <v>88.62</v>
      </c>
      <c r="H21" s="19">
        <v>88.76</v>
      </c>
      <c r="I21" s="19">
        <v>88.13</v>
      </c>
      <c r="J21" s="19">
        <v>85.53</v>
      </c>
      <c r="K21" s="19">
        <v>87.34</v>
      </c>
      <c r="L21" s="19">
        <v>92.34</v>
      </c>
      <c r="M21" s="19">
        <v>93.33</v>
      </c>
      <c r="N21" s="32">
        <v>91.24</v>
      </c>
      <c r="O21" s="32">
        <v>88.35</v>
      </c>
      <c r="P21" s="32">
        <v>86.11</v>
      </c>
      <c r="Q21" s="32">
        <v>92.89</v>
      </c>
      <c r="R21" s="32">
        <v>93.66</v>
      </c>
      <c r="S21" s="19">
        <v>94.57</v>
      </c>
      <c r="T21" s="19">
        <v>94.35</v>
      </c>
      <c r="U21" s="19">
        <v>93.66</v>
      </c>
      <c r="V21" s="19">
        <v>86.52</v>
      </c>
      <c r="W21" s="19">
        <v>85.13</v>
      </c>
      <c r="X21" s="19">
        <v>87.35</v>
      </c>
      <c r="Y21" s="19">
        <v>88.33</v>
      </c>
      <c r="Z21" s="19">
        <v>81.15</v>
      </c>
      <c r="AA21" s="19">
        <v>82.65</v>
      </c>
    </row>
    <row r="22" s="1" customFormat="1" ht="14.25" spans="1:28">
      <c r="A22" s="39"/>
      <c r="B22" s="25"/>
      <c r="C22" s="40" t="s">
        <v>38</v>
      </c>
      <c r="D22" s="19">
        <v>86.2435</v>
      </c>
      <c r="E22" s="19">
        <v>91.5622</v>
      </c>
      <c r="F22" s="19">
        <v>89.0155</v>
      </c>
      <c r="G22" s="19">
        <v>89.9853</v>
      </c>
      <c r="H22" s="19">
        <v>90.1454</v>
      </c>
      <c r="I22" s="19">
        <v>89.2021</v>
      </c>
      <c r="J22" s="19">
        <v>87.6392</v>
      </c>
      <c r="K22" s="19">
        <v>93.1093</v>
      </c>
      <c r="L22" s="19">
        <v>92.3208</v>
      </c>
      <c r="M22" s="34">
        <v>95.5557</v>
      </c>
      <c r="N22" s="36">
        <v>94.7214</v>
      </c>
      <c r="O22" s="37">
        <v>88.5016</v>
      </c>
      <c r="P22" s="36">
        <v>92.7485</v>
      </c>
      <c r="Q22" s="36">
        <v>94.2568</v>
      </c>
      <c r="R22" s="36">
        <v>87.3579</v>
      </c>
      <c r="S22" s="35">
        <v>96.881</v>
      </c>
      <c r="T22" s="19">
        <v>98.4896</v>
      </c>
      <c r="U22" s="19">
        <v>97.5198</v>
      </c>
      <c r="V22" s="19">
        <v>91.7963</v>
      </c>
      <c r="W22" s="19">
        <v>88.521</v>
      </c>
      <c r="X22" s="19">
        <v>91.4637</v>
      </c>
      <c r="Y22" s="19">
        <v>92.7158</v>
      </c>
      <c r="Z22" s="19">
        <v>91.0219</v>
      </c>
      <c r="AA22" s="19">
        <v>87.3717</v>
      </c>
      <c r="AB22" s="21">
        <f>MAX(E22:AA22)</f>
        <v>98.4896</v>
      </c>
    </row>
    <row r="23" s="1" customFormat="1" ht="14.25" hidden="1" spans="1:27">
      <c r="A23" s="15"/>
      <c r="B23" s="41"/>
      <c r="C23" s="17" t="s">
        <v>39</v>
      </c>
      <c r="D23" s="19">
        <f t="shared" ref="D23:AA23" si="6">D21-D22</f>
        <v>0.3065</v>
      </c>
      <c r="E23" s="19">
        <f t="shared" si="6"/>
        <v>-3.9122</v>
      </c>
      <c r="F23" s="19">
        <f t="shared" si="6"/>
        <v>-1.2055</v>
      </c>
      <c r="G23" s="19">
        <f t="shared" si="6"/>
        <v>-1.36529999999999</v>
      </c>
      <c r="H23" s="19">
        <f t="shared" si="6"/>
        <v>-1.38539999999999</v>
      </c>
      <c r="I23" s="19">
        <f t="shared" si="6"/>
        <v>-1.07210000000001</v>
      </c>
      <c r="J23" s="19">
        <f t="shared" si="6"/>
        <v>-2.1092</v>
      </c>
      <c r="K23" s="19">
        <f t="shared" si="6"/>
        <v>-5.7693</v>
      </c>
      <c r="L23" s="19">
        <f t="shared" si="6"/>
        <v>0.0191999999999979</v>
      </c>
      <c r="M23" s="19">
        <f t="shared" si="6"/>
        <v>-2.2257</v>
      </c>
      <c r="N23" s="33">
        <f t="shared" si="6"/>
        <v>-3.48140000000001</v>
      </c>
      <c r="O23" s="33">
        <f t="shared" si="6"/>
        <v>-0.151600000000002</v>
      </c>
      <c r="P23" s="33">
        <f t="shared" si="6"/>
        <v>-6.63850000000001</v>
      </c>
      <c r="Q23" s="33">
        <f t="shared" si="6"/>
        <v>-1.3668</v>
      </c>
      <c r="R23" s="33">
        <f t="shared" si="6"/>
        <v>6.3021</v>
      </c>
      <c r="S23" s="19">
        <f t="shared" si="6"/>
        <v>-2.31100000000001</v>
      </c>
      <c r="T23" s="19">
        <f t="shared" si="6"/>
        <v>-4.1396</v>
      </c>
      <c r="U23" s="19">
        <f t="shared" si="6"/>
        <v>-3.85980000000001</v>
      </c>
      <c r="V23" s="19">
        <f t="shared" si="6"/>
        <v>-5.27630000000001</v>
      </c>
      <c r="W23" s="19">
        <f t="shared" si="6"/>
        <v>-3.39100000000001</v>
      </c>
      <c r="X23" s="19">
        <f t="shared" si="6"/>
        <v>-4.11370000000001</v>
      </c>
      <c r="Y23" s="19">
        <f t="shared" si="6"/>
        <v>-4.3858</v>
      </c>
      <c r="Z23" s="19">
        <f t="shared" si="6"/>
        <v>-9.8719</v>
      </c>
      <c r="AA23" s="19">
        <f t="shared" si="6"/>
        <v>-4.7217</v>
      </c>
    </row>
    <row r="24" s="1" customFormat="1" ht="20" hidden="1" customHeight="1" spans="1:27">
      <c r="A24" s="15">
        <v>45969</v>
      </c>
      <c r="B24" s="38">
        <v>4303121811816</v>
      </c>
      <c r="C24" s="17" t="s">
        <v>37</v>
      </c>
      <c r="D24" s="20">
        <v>86.13</v>
      </c>
      <c r="E24" s="20">
        <v>87.91</v>
      </c>
      <c r="F24" s="20">
        <v>89.12</v>
      </c>
      <c r="G24" s="20">
        <v>89.33</v>
      </c>
      <c r="H24" s="20">
        <v>89.59</v>
      </c>
      <c r="I24" s="20">
        <v>89.66</v>
      </c>
      <c r="J24" s="20">
        <v>86.23</v>
      </c>
      <c r="K24" s="20">
        <v>86.33</v>
      </c>
      <c r="L24" s="20">
        <v>87.36</v>
      </c>
      <c r="M24" s="20">
        <v>88.18</v>
      </c>
      <c r="N24" s="20">
        <v>89.28</v>
      </c>
      <c r="O24" s="20">
        <v>86.58</v>
      </c>
      <c r="P24" s="20">
        <v>84.34</v>
      </c>
      <c r="Q24" s="20">
        <v>86.33</v>
      </c>
      <c r="R24" s="20">
        <v>87.68</v>
      </c>
      <c r="S24" s="20">
        <v>88.11</v>
      </c>
      <c r="T24" s="20">
        <v>87.85</v>
      </c>
      <c r="U24" s="20">
        <v>87.54</v>
      </c>
      <c r="V24" s="20">
        <v>86.15</v>
      </c>
      <c r="W24" s="20">
        <v>84.11</v>
      </c>
      <c r="X24" s="20">
        <v>85.35</v>
      </c>
      <c r="Y24" s="20">
        <v>86.12</v>
      </c>
      <c r="Z24" s="20">
        <v>82.35</v>
      </c>
      <c r="AA24" s="20">
        <v>82.11</v>
      </c>
    </row>
    <row r="25" s="1" customFormat="1" ht="14.25" spans="1:28">
      <c r="A25" s="39"/>
      <c r="B25" s="25"/>
      <c r="C25" s="40" t="s">
        <v>38</v>
      </c>
      <c r="D25" s="20">
        <v>87.3418</v>
      </c>
      <c r="E25" s="20">
        <v>90.779</v>
      </c>
      <c r="F25" s="20">
        <v>89.7301</v>
      </c>
      <c r="G25" s="20">
        <v>89.7917</v>
      </c>
      <c r="H25" s="20">
        <v>90.5802</v>
      </c>
      <c r="I25" s="20">
        <v>89.6051</v>
      </c>
      <c r="J25" s="20">
        <v>87.5318</v>
      </c>
      <c r="K25" s="20">
        <v>86.9827</v>
      </c>
      <c r="L25" s="20">
        <v>94.7496</v>
      </c>
      <c r="M25" s="20">
        <v>95.3638</v>
      </c>
      <c r="N25" s="20">
        <v>94.9714</v>
      </c>
      <c r="O25" s="20">
        <v>91.2243</v>
      </c>
      <c r="P25" s="20">
        <v>89.3218</v>
      </c>
      <c r="Q25" s="20">
        <v>96.0309</v>
      </c>
      <c r="R25" s="20">
        <v>97.1432</v>
      </c>
      <c r="S25" s="20">
        <v>96.0678</v>
      </c>
      <c r="T25" s="20">
        <v>97.3614</v>
      </c>
      <c r="U25" s="20">
        <v>93.1322</v>
      </c>
      <c r="V25" s="20">
        <v>87.6762</v>
      </c>
      <c r="W25" s="20">
        <v>84.2354</v>
      </c>
      <c r="X25" s="20">
        <v>89.753</v>
      </c>
      <c r="Y25" s="20">
        <v>89.0349</v>
      </c>
      <c r="Z25" s="20">
        <v>88.6213</v>
      </c>
      <c r="AA25" s="20">
        <v>85.2386</v>
      </c>
      <c r="AB25" s="21">
        <f>MAX(E25:AA25)</f>
        <v>97.3614</v>
      </c>
    </row>
    <row r="26" s="1" customFormat="1" ht="14.25" hidden="1" spans="1:27">
      <c r="A26" s="15"/>
      <c r="B26" s="41"/>
      <c r="C26" s="17" t="s">
        <v>39</v>
      </c>
      <c r="D26" s="20">
        <f t="shared" ref="D26:AA26" si="7">D24-D25</f>
        <v>-1.21180000000001</v>
      </c>
      <c r="E26" s="20">
        <f t="shared" si="7"/>
        <v>-2.869</v>
      </c>
      <c r="F26" s="20">
        <f t="shared" si="7"/>
        <v>-0.610099999999989</v>
      </c>
      <c r="G26" s="20">
        <f t="shared" si="7"/>
        <v>-0.461700000000008</v>
      </c>
      <c r="H26" s="20">
        <f t="shared" si="7"/>
        <v>-0.990200000000002</v>
      </c>
      <c r="I26" s="20">
        <f t="shared" si="7"/>
        <v>0.0549000000000035</v>
      </c>
      <c r="J26" s="20">
        <f t="shared" si="7"/>
        <v>-1.3018</v>
      </c>
      <c r="K26" s="20">
        <f t="shared" si="7"/>
        <v>-0.652699999999996</v>
      </c>
      <c r="L26" s="20">
        <f t="shared" si="7"/>
        <v>-7.3896</v>
      </c>
      <c r="M26" s="20">
        <f t="shared" si="7"/>
        <v>-7.18379999999999</v>
      </c>
      <c r="N26" s="20">
        <f t="shared" si="7"/>
        <v>-5.6914</v>
      </c>
      <c r="O26" s="20">
        <f t="shared" si="7"/>
        <v>-4.6443</v>
      </c>
      <c r="P26" s="20">
        <f t="shared" si="7"/>
        <v>-4.98179999999999</v>
      </c>
      <c r="Q26" s="20">
        <f t="shared" si="7"/>
        <v>-9.7009</v>
      </c>
      <c r="R26" s="20">
        <f t="shared" si="7"/>
        <v>-9.46319999999999</v>
      </c>
      <c r="S26" s="20">
        <f t="shared" si="7"/>
        <v>-7.95780000000001</v>
      </c>
      <c r="T26" s="20">
        <f t="shared" si="7"/>
        <v>-9.51140000000001</v>
      </c>
      <c r="U26" s="20">
        <f t="shared" si="7"/>
        <v>-5.59219999999999</v>
      </c>
      <c r="V26" s="20">
        <f t="shared" si="7"/>
        <v>-1.52619999999999</v>
      </c>
      <c r="W26" s="20">
        <f t="shared" si="7"/>
        <v>-0.125399999999999</v>
      </c>
      <c r="X26" s="20">
        <f t="shared" si="7"/>
        <v>-4.40300000000001</v>
      </c>
      <c r="Y26" s="20">
        <f t="shared" si="7"/>
        <v>-2.91489999999999</v>
      </c>
      <c r="Z26" s="20">
        <f t="shared" si="7"/>
        <v>-6.27130000000001</v>
      </c>
      <c r="AA26" s="20">
        <f t="shared" si="7"/>
        <v>-3.12860000000001</v>
      </c>
    </row>
    <row r="27" s="1" customFormat="1" ht="20" hidden="1" customHeight="1" spans="1:27">
      <c r="A27" s="15">
        <v>45970</v>
      </c>
      <c r="B27" s="38">
        <v>4303121811816</v>
      </c>
      <c r="C27" s="17" t="s">
        <v>37</v>
      </c>
      <c r="D27" s="19">
        <v>84.28</v>
      </c>
      <c r="E27" s="19">
        <v>85.13</v>
      </c>
      <c r="F27" s="19">
        <v>86.37</v>
      </c>
      <c r="G27" s="19">
        <v>86.22</v>
      </c>
      <c r="H27" s="19">
        <v>86.34</v>
      </c>
      <c r="I27" s="19">
        <v>84.65</v>
      </c>
      <c r="J27" s="19">
        <v>76.89</v>
      </c>
      <c r="K27" s="19">
        <v>83.54</v>
      </c>
      <c r="L27" s="19">
        <v>85.66</v>
      </c>
      <c r="M27" s="19">
        <v>85.76</v>
      </c>
      <c r="N27" s="19">
        <v>85.34</v>
      </c>
      <c r="O27" s="19">
        <v>84.66</v>
      </c>
      <c r="P27" s="19">
        <v>84.13</v>
      </c>
      <c r="Q27" s="19">
        <v>85.32</v>
      </c>
      <c r="R27" s="19">
        <v>85.55</v>
      </c>
      <c r="S27" s="19">
        <v>85.67</v>
      </c>
      <c r="T27" s="19">
        <v>85.61</v>
      </c>
      <c r="U27" s="19">
        <v>85.54</v>
      </c>
      <c r="V27" s="19">
        <v>84.34</v>
      </c>
      <c r="W27" s="19">
        <v>83.77</v>
      </c>
      <c r="X27" s="19">
        <v>84.64</v>
      </c>
      <c r="Y27" s="19">
        <v>85.32</v>
      </c>
      <c r="Z27" s="19">
        <v>83.22</v>
      </c>
      <c r="AA27" s="19">
        <v>83.13</v>
      </c>
    </row>
    <row r="28" s="1" customFormat="1" ht="14.25" spans="1:28">
      <c r="A28" s="39"/>
      <c r="B28" s="25"/>
      <c r="C28" s="40" t="s">
        <v>38</v>
      </c>
      <c r="D28" s="19">
        <v>83.8094</v>
      </c>
      <c r="E28" s="19">
        <v>86.5797</v>
      </c>
      <c r="F28" s="19">
        <v>87.5541</v>
      </c>
      <c r="G28" s="19">
        <v>87.861</v>
      </c>
      <c r="H28" s="19">
        <v>87.1552</v>
      </c>
      <c r="I28" s="19">
        <v>85.8405</v>
      </c>
      <c r="J28" s="19">
        <v>80.5059</v>
      </c>
      <c r="K28" s="19">
        <v>78.1366</v>
      </c>
      <c r="L28" s="19">
        <v>80.2894</v>
      </c>
      <c r="M28" s="19">
        <v>80.1451</v>
      </c>
      <c r="N28" s="19">
        <v>77.3661</v>
      </c>
      <c r="O28" s="19">
        <v>75.6536</v>
      </c>
      <c r="P28" s="19">
        <v>75.7434</v>
      </c>
      <c r="Q28" s="19">
        <v>79.5802</v>
      </c>
      <c r="R28" s="19">
        <v>80.6925</v>
      </c>
      <c r="S28" s="19">
        <v>81.2082</v>
      </c>
      <c r="T28" s="19">
        <v>81.7819</v>
      </c>
      <c r="U28" s="19">
        <v>79.2043</v>
      </c>
      <c r="V28" s="19">
        <v>74.2651</v>
      </c>
      <c r="W28" s="19">
        <v>74.8254</v>
      </c>
      <c r="X28" s="19">
        <v>79.3918</v>
      </c>
      <c r="Y28" s="19">
        <v>80.8121</v>
      </c>
      <c r="Z28" s="19">
        <v>79.3438</v>
      </c>
      <c r="AA28" s="19">
        <v>75.6606</v>
      </c>
      <c r="AB28" s="21">
        <f>MAX(E28:AA28)</f>
        <v>87.861</v>
      </c>
    </row>
    <row r="29" s="1" customFormat="1" ht="14.25" hidden="1" spans="1:27">
      <c r="A29" s="15"/>
      <c r="B29" s="41"/>
      <c r="C29" s="17" t="s">
        <v>39</v>
      </c>
      <c r="D29" s="19">
        <f t="shared" ref="D29:AA29" si="8">D27-D28</f>
        <v>0.470600000000005</v>
      </c>
      <c r="E29" s="19">
        <f t="shared" si="8"/>
        <v>-1.44970000000001</v>
      </c>
      <c r="F29" s="19">
        <f t="shared" si="8"/>
        <v>-1.1841</v>
      </c>
      <c r="G29" s="19">
        <f t="shared" si="8"/>
        <v>-1.64100000000001</v>
      </c>
      <c r="H29" s="19">
        <f t="shared" si="8"/>
        <v>-0.81519999999999</v>
      </c>
      <c r="I29" s="19">
        <f t="shared" si="8"/>
        <v>-1.1905</v>
      </c>
      <c r="J29" s="19">
        <f t="shared" si="8"/>
        <v>-3.6159</v>
      </c>
      <c r="K29" s="19">
        <f t="shared" si="8"/>
        <v>5.4034</v>
      </c>
      <c r="L29" s="19">
        <f t="shared" si="8"/>
        <v>5.3706</v>
      </c>
      <c r="M29" s="19">
        <f t="shared" si="8"/>
        <v>5.61490000000001</v>
      </c>
      <c r="N29" s="19">
        <f t="shared" si="8"/>
        <v>7.9739</v>
      </c>
      <c r="O29" s="19">
        <f t="shared" si="8"/>
        <v>9.0064</v>
      </c>
      <c r="P29" s="19">
        <f t="shared" si="8"/>
        <v>8.3866</v>
      </c>
      <c r="Q29" s="19">
        <f t="shared" si="8"/>
        <v>5.73979999999999</v>
      </c>
      <c r="R29" s="19">
        <f t="shared" si="8"/>
        <v>4.8575</v>
      </c>
      <c r="S29" s="19">
        <f t="shared" si="8"/>
        <v>4.4618</v>
      </c>
      <c r="T29" s="19">
        <f t="shared" si="8"/>
        <v>3.82810000000001</v>
      </c>
      <c r="U29" s="19">
        <f t="shared" si="8"/>
        <v>6.3357</v>
      </c>
      <c r="V29" s="19">
        <f t="shared" si="8"/>
        <v>10.0749</v>
      </c>
      <c r="W29" s="19">
        <f t="shared" si="8"/>
        <v>8.94459999999999</v>
      </c>
      <c r="X29" s="19">
        <f t="shared" si="8"/>
        <v>5.2482</v>
      </c>
      <c r="Y29" s="19">
        <f t="shared" si="8"/>
        <v>4.50789999999999</v>
      </c>
      <c r="Z29" s="19">
        <f t="shared" si="8"/>
        <v>3.8762</v>
      </c>
      <c r="AA29" s="19">
        <f t="shared" si="8"/>
        <v>7.46939999999999</v>
      </c>
    </row>
    <row r="30" s="1" customFormat="1" ht="20" hidden="1" customHeight="1" spans="1:27">
      <c r="A30" s="15">
        <v>45971</v>
      </c>
      <c r="B30" s="38">
        <v>4303121811816</v>
      </c>
      <c r="C30" s="17" t="s">
        <v>37</v>
      </c>
      <c r="D30" s="20">
        <v>84.11</v>
      </c>
      <c r="E30" s="20">
        <v>84.32</v>
      </c>
      <c r="F30" s="20">
        <v>84.12</v>
      </c>
      <c r="G30" s="20">
        <v>84.33</v>
      </c>
      <c r="H30" s="20">
        <v>84.41</v>
      </c>
      <c r="I30" s="20">
        <v>83.24</v>
      </c>
      <c r="J30" s="20">
        <v>81.35</v>
      </c>
      <c r="K30" s="20">
        <v>86.89</v>
      </c>
      <c r="L30" s="20">
        <v>91.32</v>
      </c>
      <c r="M30" s="20">
        <v>92.33</v>
      </c>
      <c r="N30" s="20">
        <v>91.35</v>
      </c>
      <c r="O30" s="20">
        <v>88.26</v>
      </c>
      <c r="P30" s="20">
        <v>91.99</v>
      </c>
      <c r="Q30" s="20">
        <v>93.65</v>
      </c>
      <c r="R30" s="20">
        <v>94.25</v>
      </c>
      <c r="S30" s="20">
        <v>95.21</v>
      </c>
      <c r="T30" s="20">
        <v>95.33</v>
      </c>
      <c r="U30" s="20">
        <v>95.18</v>
      </c>
      <c r="V30" s="20">
        <v>91.25</v>
      </c>
      <c r="W30" s="20">
        <v>88.11</v>
      </c>
      <c r="X30" s="20">
        <v>91.24</v>
      </c>
      <c r="Y30" s="20">
        <v>92.22</v>
      </c>
      <c r="Z30" s="20">
        <v>91.01</v>
      </c>
      <c r="AA30" s="20">
        <v>86.98</v>
      </c>
    </row>
    <row r="31" s="1" customFormat="1" ht="14.25" spans="1:28">
      <c r="A31" s="39"/>
      <c r="B31" s="25"/>
      <c r="C31" s="40" t="s">
        <v>38</v>
      </c>
      <c r="D31" s="20">
        <v>76.919</v>
      </c>
      <c r="E31" s="20">
        <v>79.7854</v>
      </c>
      <c r="F31" s="20">
        <v>79.6277</v>
      </c>
      <c r="G31" s="20">
        <v>79.7034</v>
      </c>
      <c r="H31" s="20">
        <v>80.1725</v>
      </c>
      <c r="I31" s="20">
        <v>80.1958</v>
      </c>
      <c r="J31" s="20">
        <v>79.7104</v>
      </c>
      <c r="K31" s="20">
        <v>82.9646</v>
      </c>
      <c r="L31" s="20">
        <v>94.3659</v>
      </c>
      <c r="M31" s="20">
        <v>97.3773</v>
      </c>
      <c r="N31" s="20">
        <v>95.1315</v>
      </c>
      <c r="O31" s="20">
        <v>91.3669</v>
      </c>
      <c r="P31" s="20">
        <v>90.0733</v>
      </c>
      <c r="Q31" s="20">
        <v>96.4058</v>
      </c>
      <c r="R31" s="20">
        <v>96.6504</v>
      </c>
      <c r="S31" s="20">
        <v>97.3509</v>
      </c>
      <c r="T31" s="20">
        <v>97.2682</v>
      </c>
      <c r="U31" s="20">
        <v>96.4691</v>
      </c>
      <c r="V31" s="20">
        <v>91.293</v>
      </c>
      <c r="W31" s="20">
        <v>86.0253</v>
      </c>
      <c r="X31" s="20">
        <v>90.5266</v>
      </c>
      <c r="Y31" s="20">
        <v>90.8565</v>
      </c>
      <c r="Z31" s="20">
        <v>89.8655</v>
      </c>
      <c r="AA31" s="20">
        <v>85.763</v>
      </c>
      <c r="AB31" s="21">
        <f>MAX(E31:AA31)</f>
        <v>97.3773</v>
      </c>
    </row>
    <row r="32" s="1" customFormat="1" ht="14.25" hidden="1" spans="1:27">
      <c r="A32" s="15"/>
      <c r="B32" s="41"/>
      <c r="C32" s="17" t="s">
        <v>39</v>
      </c>
      <c r="D32" s="20">
        <f t="shared" ref="D32:AA32" si="9">D30-D31</f>
        <v>7.191</v>
      </c>
      <c r="E32" s="20">
        <f t="shared" si="9"/>
        <v>4.5346</v>
      </c>
      <c r="F32" s="20">
        <f t="shared" si="9"/>
        <v>4.4923</v>
      </c>
      <c r="G32" s="20">
        <f t="shared" si="9"/>
        <v>4.6266</v>
      </c>
      <c r="H32" s="20">
        <f t="shared" si="9"/>
        <v>4.2375</v>
      </c>
      <c r="I32" s="20">
        <f t="shared" si="9"/>
        <v>3.04419999999999</v>
      </c>
      <c r="J32" s="20">
        <f t="shared" si="9"/>
        <v>1.63959999999999</v>
      </c>
      <c r="K32" s="20">
        <f t="shared" si="9"/>
        <v>3.9254</v>
      </c>
      <c r="L32" s="20">
        <f t="shared" si="9"/>
        <v>-3.0459</v>
      </c>
      <c r="M32" s="20">
        <f t="shared" si="9"/>
        <v>-5.04730000000001</v>
      </c>
      <c r="N32" s="20">
        <f t="shared" si="9"/>
        <v>-3.78150000000001</v>
      </c>
      <c r="O32" s="20">
        <f t="shared" si="9"/>
        <v>-3.1069</v>
      </c>
      <c r="P32" s="20">
        <f t="shared" si="9"/>
        <v>1.91669999999999</v>
      </c>
      <c r="Q32" s="20">
        <f t="shared" si="9"/>
        <v>-2.75579999999999</v>
      </c>
      <c r="R32" s="20">
        <f t="shared" si="9"/>
        <v>-2.4004</v>
      </c>
      <c r="S32" s="20">
        <f t="shared" si="9"/>
        <v>-2.1409</v>
      </c>
      <c r="T32" s="20">
        <f t="shared" si="9"/>
        <v>-1.93819999999999</v>
      </c>
      <c r="U32" s="20">
        <f t="shared" si="9"/>
        <v>-1.28909999999999</v>
      </c>
      <c r="V32" s="20">
        <f t="shared" si="9"/>
        <v>-0.0430000000000064</v>
      </c>
      <c r="W32" s="20">
        <f t="shared" si="9"/>
        <v>2.0847</v>
      </c>
      <c r="X32" s="20">
        <f t="shared" si="9"/>
        <v>0.713399999999993</v>
      </c>
      <c r="Y32" s="20">
        <f t="shared" si="9"/>
        <v>1.3635</v>
      </c>
      <c r="Z32" s="20">
        <f t="shared" si="9"/>
        <v>1.14450000000001</v>
      </c>
      <c r="AA32" s="20">
        <f t="shared" si="9"/>
        <v>1.217</v>
      </c>
    </row>
    <row r="33" s="1" customFormat="1" ht="20" hidden="1" customHeight="1" spans="1:27">
      <c r="A33" s="15">
        <v>45972</v>
      </c>
      <c r="B33" s="38">
        <v>4303121811816</v>
      </c>
      <c r="C33" s="17" t="s">
        <v>37</v>
      </c>
      <c r="D33" s="19">
        <v>85.18</v>
      </c>
      <c r="E33" s="19">
        <v>88.56</v>
      </c>
      <c r="F33" s="19">
        <v>88.96</v>
      </c>
      <c r="G33" s="19">
        <v>89.77</v>
      </c>
      <c r="H33" s="19">
        <v>90.11</v>
      </c>
      <c r="I33" s="19">
        <v>84.35</v>
      </c>
      <c r="J33" s="19">
        <v>85.11</v>
      </c>
      <c r="K33" s="19">
        <v>92.34</v>
      </c>
      <c r="L33" s="19">
        <v>92.22</v>
      </c>
      <c r="M33" s="19">
        <v>93.15</v>
      </c>
      <c r="N33" s="19">
        <v>93.58</v>
      </c>
      <c r="O33" s="19">
        <v>88.34</v>
      </c>
      <c r="P33" s="19">
        <v>92.13</v>
      </c>
      <c r="Q33" s="19">
        <v>94.11</v>
      </c>
      <c r="R33" s="19">
        <v>94.34</v>
      </c>
      <c r="S33" s="19">
        <v>95.33</v>
      </c>
      <c r="T33" s="19">
        <v>95.46</v>
      </c>
      <c r="U33" s="19">
        <v>95.33</v>
      </c>
      <c r="V33" s="19">
        <v>91.64</v>
      </c>
      <c r="W33" s="19">
        <v>88.34</v>
      </c>
      <c r="X33" s="19">
        <v>91.33</v>
      </c>
      <c r="Y33" s="19">
        <v>92.31</v>
      </c>
      <c r="Z33" s="19">
        <v>91.21</v>
      </c>
      <c r="AA33" s="19">
        <v>87.11</v>
      </c>
    </row>
    <row r="34" s="1" customFormat="1" ht="14.25" spans="1:28">
      <c r="A34" s="39"/>
      <c r="B34" s="25"/>
      <c r="C34" s="40" t="s">
        <v>38</v>
      </c>
      <c r="D34" s="19">
        <v>85.2579</v>
      </c>
      <c r="E34" s="19">
        <v>89.0173</v>
      </c>
      <c r="F34" s="19">
        <v>90.1349</v>
      </c>
      <c r="G34" s="19">
        <v>90.457</v>
      </c>
      <c r="H34" s="19">
        <v>89.8694</v>
      </c>
      <c r="I34" s="19">
        <v>89.2549</v>
      </c>
      <c r="J34" s="19">
        <v>87.9102</v>
      </c>
      <c r="K34" s="19">
        <v>90.3742</v>
      </c>
      <c r="L34" s="19">
        <v>97.5761</v>
      </c>
      <c r="M34" s="19">
        <v>95.209</v>
      </c>
      <c r="N34" s="19">
        <v>95.6454</v>
      </c>
      <c r="O34" s="19">
        <v>88.843</v>
      </c>
      <c r="P34" s="19">
        <v>86.1661</v>
      </c>
      <c r="Q34" s="19">
        <v>94.5454</v>
      </c>
      <c r="R34" s="19">
        <v>95.1878</v>
      </c>
      <c r="S34" s="19">
        <v>97.2224</v>
      </c>
      <c r="T34" s="19">
        <v>97.5832</v>
      </c>
      <c r="U34" s="19">
        <v>97.0957</v>
      </c>
      <c r="V34" s="19">
        <v>91.9178</v>
      </c>
      <c r="W34" s="19">
        <v>87.3101</v>
      </c>
      <c r="X34" s="19">
        <v>92.8875</v>
      </c>
      <c r="Y34" s="19">
        <v>92.6446</v>
      </c>
      <c r="Z34" s="19">
        <v>91.3158</v>
      </c>
      <c r="AA34" s="19">
        <v>89.7072</v>
      </c>
      <c r="AB34" s="21">
        <f>MAX(E34:AA34)</f>
        <v>97.5832</v>
      </c>
    </row>
    <row r="35" s="1" customFormat="1" ht="14.25" hidden="1" spans="1:27">
      <c r="A35" s="15"/>
      <c r="B35" s="41"/>
      <c r="C35" s="17" t="s">
        <v>39</v>
      </c>
      <c r="D35" s="19">
        <f t="shared" ref="D35:AA35" si="10">D33-D34</f>
        <v>-0.0778999999999996</v>
      </c>
      <c r="E35" s="19">
        <f t="shared" si="10"/>
        <v>-0.457300000000004</v>
      </c>
      <c r="F35" s="19">
        <f t="shared" si="10"/>
        <v>-1.17490000000001</v>
      </c>
      <c r="G35" s="19">
        <f t="shared" si="10"/>
        <v>-0.686999999999998</v>
      </c>
      <c r="H35" s="19">
        <f t="shared" si="10"/>
        <v>0.240600000000001</v>
      </c>
      <c r="I35" s="19">
        <f t="shared" si="10"/>
        <v>-4.90490000000001</v>
      </c>
      <c r="J35" s="19">
        <f t="shared" si="10"/>
        <v>-2.8002</v>
      </c>
      <c r="K35" s="19">
        <f t="shared" si="10"/>
        <v>1.9658</v>
      </c>
      <c r="L35" s="19">
        <f t="shared" si="10"/>
        <v>-5.3561</v>
      </c>
      <c r="M35" s="19">
        <f t="shared" si="10"/>
        <v>-2.059</v>
      </c>
      <c r="N35" s="19">
        <f t="shared" si="10"/>
        <v>-2.0654</v>
      </c>
      <c r="O35" s="19">
        <f t="shared" si="10"/>
        <v>-0.503</v>
      </c>
      <c r="P35" s="19">
        <f t="shared" si="10"/>
        <v>5.9639</v>
      </c>
      <c r="Q35" s="19">
        <f t="shared" si="10"/>
        <v>-0.435400000000001</v>
      </c>
      <c r="R35" s="19">
        <f t="shared" si="10"/>
        <v>-0.847799999999992</v>
      </c>
      <c r="S35" s="19">
        <f t="shared" si="10"/>
        <v>-1.89239999999999</v>
      </c>
      <c r="T35" s="19">
        <f t="shared" si="10"/>
        <v>-2.12320000000001</v>
      </c>
      <c r="U35" s="19">
        <f t="shared" si="10"/>
        <v>-1.7657</v>
      </c>
      <c r="V35" s="19">
        <f t="shared" si="10"/>
        <v>-0.277799999999999</v>
      </c>
      <c r="W35" s="19">
        <f t="shared" si="10"/>
        <v>1.0299</v>
      </c>
      <c r="X35" s="19">
        <f t="shared" si="10"/>
        <v>-1.5575</v>
      </c>
      <c r="Y35" s="19">
        <f t="shared" si="10"/>
        <v>-0.334599999999995</v>
      </c>
      <c r="Z35" s="19">
        <f t="shared" si="10"/>
        <v>-0.105800000000002</v>
      </c>
      <c r="AA35" s="19">
        <f t="shared" si="10"/>
        <v>-2.5972</v>
      </c>
    </row>
    <row r="36" s="1" customFormat="1" ht="20" hidden="1" customHeight="1" spans="1:27">
      <c r="A36" s="15">
        <v>45973</v>
      </c>
      <c r="B36" s="38">
        <v>4303121811816</v>
      </c>
      <c r="C36" s="17" t="s">
        <v>37</v>
      </c>
      <c r="D36" s="20">
        <v>85.25</v>
      </c>
      <c r="E36" s="20">
        <v>88.68</v>
      </c>
      <c r="F36" s="20">
        <v>89.13</v>
      </c>
      <c r="G36" s="20">
        <v>89.65</v>
      </c>
      <c r="H36" s="20">
        <v>90.34</v>
      </c>
      <c r="I36" s="20">
        <v>84.66</v>
      </c>
      <c r="J36" s="20">
        <v>85.34</v>
      </c>
      <c r="K36" s="20">
        <v>92.55</v>
      </c>
      <c r="L36" s="20">
        <v>92.64</v>
      </c>
      <c r="M36" s="20">
        <v>93.22</v>
      </c>
      <c r="N36" s="20">
        <v>93.18</v>
      </c>
      <c r="O36" s="20">
        <v>88.22</v>
      </c>
      <c r="P36" s="20">
        <v>92.35</v>
      </c>
      <c r="Q36" s="20">
        <v>94.25</v>
      </c>
      <c r="R36" s="20">
        <v>94.33</v>
      </c>
      <c r="S36" s="20">
        <v>95.18</v>
      </c>
      <c r="T36" s="20">
        <v>95.26</v>
      </c>
      <c r="U36" s="20">
        <v>95.41</v>
      </c>
      <c r="V36" s="20">
        <v>91.51</v>
      </c>
      <c r="W36" s="20">
        <v>88.26</v>
      </c>
      <c r="X36" s="20">
        <v>91.26</v>
      </c>
      <c r="Y36" s="20">
        <v>92.11</v>
      </c>
      <c r="Z36" s="20">
        <v>91.18</v>
      </c>
      <c r="AA36" s="20">
        <v>86.99</v>
      </c>
    </row>
    <row r="37" s="1" customFormat="1" ht="14.25" spans="1:28">
      <c r="A37" s="39"/>
      <c r="B37" s="25"/>
      <c r="C37" s="40" t="s">
        <v>38</v>
      </c>
      <c r="D37" s="20">
        <v>87.7378</v>
      </c>
      <c r="E37" s="20">
        <v>91.4144</v>
      </c>
      <c r="F37" s="20">
        <v>91.777</v>
      </c>
      <c r="G37" s="20">
        <v>92.3982</v>
      </c>
      <c r="H37" s="20">
        <v>92.4053</v>
      </c>
      <c r="I37" s="20">
        <v>90.9251</v>
      </c>
      <c r="J37" s="20">
        <v>87.7888</v>
      </c>
      <c r="K37" s="20">
        <v>97.3646</v>
      </c>
      <c r="L37" s="20">
        <v>96.675</v>
      </c>
      <c r="M37" s="20">
        <v>96.3494</v>
      </c>
      <c r="N37" s="20">
        <v>92.2363</v>
      </c>
      <c r="O37" s="20">
        <v>89.408</v>
      </c>
      <c r="P37" s="20">
        <v>85.5694</v>
      </c>
      <c r="Q37" s="20">
        <v>93.3891</v>
      </c>
      <c r="R37" s="20">
        <v>97.4547</v>
      </c>
      <c r="S37" s="20">
        <v>98.5934</v>
      </c>
      <c r="T37" s="20">
        <v>99.6248</v>
      </c>
      <c r="U37" s="20">
        <v>97.2858</v>
      </c>
      <c r="V37" s="20">
        <v>93.9048</v>
      </c>
      <c r="W37" s="20">
        <v>88.7533</v>
      </c>
      <c r="X37" s="20">
        <v>93.3874</v>
      </c>
      <c r="Y37" s="20">
        <v>93.3029</v>
      </c>
      <c r="Z37" s="20">
        <v>90.418</v>
      </c>
      <c r="AA37" s="20">
        <v>88.748</v>
      </c>
      <c r="AB37" s="21">
        <f>MAX(E37:AA37)</f>
        <v>99.6248</v>
      </c>
    </row>
    <row r="38" s="1" customFormat="1" ht="14.25" hidden="1" spans="1:27">
      <c r="A38" s="15"/>
      <c r="B38" s="41"/>
      <c r="C38" s="17" t="s">
        <v>39</v>
      </c>
      <c r="D38" s="20">
        <f t="shared" ref="D38:AA38" si="11">D36-D37</f>
        <v>-2.48779999999999</v>
      </c>
      <c r="E38" s="20">
        <f t="shared" si="11"/>
        <v>-2.73439999999999</v>
      </c>
      <c r="F38" s="20">
        <f t="shared" si="11"/>
        <v>-2.64700000000001</v>
      </c>
      <c r="G38" s="20">
        <f t="shared" si="11"/>
        <v>-2.7482</v>
      </c>
      <c r="H38" s="20">
        <f t="shared" si="11"/>
        <v>-2.06529999999999</v>
      </c>
      <c r="I38" s="20">
        <f t="shared" si="11"/>
        <v>-6.2651</v>
      </c>
      <c r="J38" s="20">
        <f t="shared" si="11"/>
        <v>-2.44879999999999</v>
      </c>
      <c r="K38" s="20">
        <f t="shared" si="11"/>
        <v>-4.8146</v>
      </c>
      <c r="L38" s="20">
        <f t="shared" si="11"/>
        <v>-4.035</v>
      </c>
      <c r="M38" s="20">
        <f t="shared" si="11"/>
        <v>-3.1294</v>
      </c>
      <c r="N38" s="20">
        <f t="shared" si="11"/>
        <v>0.943700000000007</v>
      </c>
      <c r="O38" s="20">
        <f t="shared" si="11"/>
        <v>-1.188</v>
      </c>
      <c r="P38" s="20">
        <f t="shared" si="11"/>
        <v>6.78059999999999</v>
      </c>
      <c r="Q38" s="20">
        <f t="shared" si="11"/>
        <v>0.860900000000001</v>
      </c>
      <c r="R38" s="20">
        <f t="shared" si="11"/>
        <v>-3.1247</v>
      </c>
      <c r="S38" s="20">
        <f t="shared" si="11"/>
        <v>-3.4134</v>
      </c>
      <c r="T38" s="20">
        <f t="shared" si="11"/>
        <v>-4.36479999999999</v>
      </c>
      <c r="U38" s="20">
        <f t="shared" si="11"/>
        <v>-1.8758</v>
      </c>
      <c r="V38" s="20">
        <f t="shared" si="11"/>
        <v>-2.39479999999999</v>
      </c>
      <c r="W38" s="20">
        <f t="shared" si="11"/>
        <v>-0.493299999999991</v>
      </c>
      <c r="X38" s="20">
        <f t="shared" si="11"/>
        <v>-2.12739999999999</v>
      </c>
      <c r="Y38" s="20">
        <f t="shared" si="11"/>
        <v>-1.19289999999999</v>
      </c>
      <c r="Z38" s="20">
        <f t="shared" si="11"/>
        <v>0.762</v>
      </c>
      <c r="AA38" s="20">
        <f t="shared" si="11"/>
        <v>-1.75800000000001</v>
      </c>
    </row>
    <row r="39" s="1" customFormat="1" ht="20" hidden="1" customHeight="1" spans="1:27">
      <c r="A39" s="15">
        <v>45974</v>
      </c>
      <c r="B39" s="38">
        <v>4303121811816</v>
      </c>
      <c r="C39" s="17" t="s">
        <v>37</v>
      </c>
      <c r="D39" s="19">
        <v>86.58</v>
      </c>
      <c r="E39" s="19">
        <v>89.89</v>
      </c>
      <c r="F39" s="19">
        <v>89.11</v>
      </c>
      <c r="G39" s="19">
        <v>89.58</v>
      </c>
      <c r="H39" s="19">
        <v>90.21</v>
      </c>
      <c r="I39" s="19">
        <v>85.88</v>
      </c>
      <c r="J39" s="19">
        <v>86.28</v>
      </c>
      <c r="K39" s="19">
        <v>92.34</v>
      </c>
      <c r="L39" s="19">
        <v>92.58</v>
      </c>
      <c r="M39" s="19">
        <v>93.55</v>
      </c>
      <c r="N39" s="19">
        <v>93.35</v>
      </c>
      <c r="O39" s="19">
        <v>88.16</v>
      </c>
      <c r="P39" s="19">
        <v>92.29</v>
      </c>
      <c r="Q39" s="19">
        <v>94.33</v>
      </c>
      <c r="R39" s="19">
        <v>94.41</v>
      </c>
      <c r="S39" s="19">
        <v>95.26</v>
      </c>
      <c r="T39" s="19">
        <v>95.19</v>
      </c>
      <c r="U39" s="19">
        <v>95.33</v>
      </c>
      <c r="V39" s="19">
        <v>91.34</v>
      </c>
      <c r="W39" s="19">
        <v>88.34</v>
      </c>
      <c r="X39" s="19">
        <v>91.33</v>
      </c>
      <c r="Y39" s="19">
        <v>92.25</v>
      </c>
      <c r="Z39" s="19">
        <v>91.06</v>
      </c>
      <c r="AA39" s="19">
        <v>87.18</v>
      </c>
    </row>
    <row r="40" s="1" customFormat="1" ht="14.25" spans="1:28">
      <c r="A40" s="39"/>
      <c r="B40" s="25"/>
      <c r="C40" s="40" t="s">
        <v>38</v>
      </c>
      <c r="D40" s="19">
        <v>87.3083</v>
      </c>
      <c r="E40" s="19">
        <v>92.0621</v>
      </c>
      <c r="F40" s="19">
        <v>92.5408</v>
      </c>
      <c r="G40" s="19">
        <v>92.5302</v>
      </c>
      <c r="H40" s="19">
        <v>92.0744</v>
      </c>
      <c r="I40" s="19">
        <v>89.5453</v>
      </c>
      <c r="J40" s="19">
        <v>89.1246</v>
      </c>
      <c r="K40" s="19">
        <v>88.3819</v>
      </c>
      <c r="L40" s="19">
        <v>96.7859</v>
      </c>
      <c r="M40" s="19">
        <v>93.4137</v>
      </c>
      <c r="N40" s="19">
        <v>91.5638</v>
      </c>
      <c r="O40" s="19">
        <v>82.9734</v>
      </c>
      <c r="P40" s="19">
        <v>91.9755</v>
      </c>
      <c r="Q40" s="19">
        <v>90.7034</v>
      </c>
      <c r="R40" s="19">
        <v>89.8603</v>
      </c>
      <c r="S40" s="19">
        <v>92.7907</v>
      </c>
      <c r="T40" s="19">
        <v>98.5477</v>
      </c>
      <c r="U40" s="19">
        <v>97.3597</v>
      </c>
      <c r="V40" s="19">
        <v>93.4525</v>
      </c>
      <c r="W40" s="19">
        <v>87.4157</v>
      </c>
      <c r="X40" s="19">
        <v>90.4358</v>
      </c>
      <c r="Y40" s="19">
        <v>91.6573</v>
      </c>
      <c r="Z40" s="19">
        <v>88.7814</v>
      </c>
      <c r="AA40" s="19">
        <v>86.7962</v>
      </c>
      <c r="AB40" s="21">
        <f>MAX(E40:AA40)</f>
        <v>98.5477</v>
      </c>
    </row>
    <row r="41" s="1" customFormat="1" ht="14.25" hidden="1" spans="1:27">
      <c r="A41" s="15"/>
      <c r="B41" s="41"/>
      <c r="C41" s="17" t="s">
        <v>39</v>
      </c>
      <c r="D41" s="19">
        <f t="shared" ref="D41:AA41" si="12">D39-D40</f>
        <v>-0.728300000000004</v>
      </c>
      <c r="E41" s="19">
        <f t="shared" si="12"/>
        <v>-2.1721</v>
      </c>
      <c r="F41" s="19">
        <f t="shared" si="12"/>
        <v>-3.4308</v>
      </c>
      <c r="G41" s="19">
        <f t="shared" si="12"/>
        <v>-2.9502</v>
      </c>
      <c r="H41" s="19">
        <f t="shared" si="12"/>
        <v>-1.8644</v>
      </c>
      <c r="I41" s="19">
        <f t="shared" si="12"/>
        <v>-3.6653</v>
      </c>
      <c r="J41" s="19">
        <f t="shared" si="12"/>
        <v>-2.8446</v>
      </c>
      <c r="K41" s="19">
        <f t="shared" si="12"/>
        <v>3.9581</v>
      </c>
      <c r="L41" s="19">
        <f t="shared" si="12"/>
        <v>-4.2059</v>
      </c>
      <c r="M41" s="19">
        <f t="shared" si="12"/>
        <v>0.136299999999991</v>
      </c>
      <c r="N41" s="19">
        <f t="shared" si="12"/>
        <v>1.78619999999999</v>
      </c>
      <c r="O41" s="19">
        <f t="shared" si="12"/>
        <v>5.1866</v>
      </c>
      <c r="P41" s="19">
        <f t="shared" si="12"/>
        <v>0.31450000000001</v>
      </c>
      <c r="Q41" s="19">
        <f t="shared" si="12"/>
        <v>3.6266</v>
      </c>
      <c r="R41" s="19">
        <f t="shared" si="12"/>
        <v>4.5497</v>
      </c>
      <c r="S41" s="19">
        <f t="shared" si="12"/>
        <v>2.4693</v>
      </c>
      <c r="T41" s="19">
        <f t="shared" si="12"/>
        <v>-3.35770000000001</v>
      </c>
      <c r="U41" s="19">
        <f t="shared" si="12"/>
        <v>-2.02970000000001</v>
      </c>
      <c r="V41" s="19">
        <f t="shared" si="12"/>
        <v>-2.1125</v>
      </c>
      <c r="W41" s="19">
        <f t="shared" si="12"/>
        <v>0.924300000000002</v>
      </c>
      <c r="X41" s="19">
        <f t="shared" si="12"/>
        <v>0.894199999999998</v>
      </c>
      <c r="Y41" s="19">
        <f t="shared" si="12"/>
        <v>0.592699999999994</v>
      </c>
      <c r="Z41" s="19">
        <f t="shared" si="12"/>
        <v>2.2786</v>
      </c>
      <c r="AA41" s="19">
        <f t="shared" si="12"/>
        <v>0.383800000000008</v>
      </c>
    </row>
    <row r="42" s="1" customFormat="1" ht="20" hidden="1" customHeight="1" spans="1:27">
      <c r="A42" s="15">
        <v>45975</v>
      </c>
      <c r="B42" s="38">
        <v>4303121811816</v>
      </c>
      <c r="C42" s="17" t="s">
        <v>37</v>
      </c>
      <c r="D42" s="20">
        <v>86.25</v>
      </c>
      <c r="E42" s="20">
        <v>89.75</v>
      </c>
      <c r="F42" s="20">
        <v>89.25</v>
      </c>
      <c r="G42" s="20">
        <v>89.55</v>
      </c>
      <c r="H42" s="20">
        <v>90.18</v>
      </c>
      <c r="I42" s="20">
        <v>85.76</v>
      </c>
      <c r="J42" s="20">
        <v>86.11</v>
      </c>
      <c r="K42" s="20">
        <v>92.28</v>
      </c>
      <c r="L42" s="20">
        <v>92.61</v>
      </c>
      <c r="M42" s="20">
        <v>93.61</v>
      </c>
      <c r="N42" s="20">
        <v>93.45</v>
      </c>
      <c r="O42" s="20">
        <v>88.22</v>
      </c>
      <c r="P42" s="20">
        <v>92.31</v>
      </c>
      <c r="Q42" s="20">
        <v>94.28</v>
      </c>
      <c r="R42" s="20">
        <v>94.36</v>
      </c>
      <c r="S42" s="20">
        <v>95.33</v>
      </c>
      <c r="T42" s="20">
        <v>95.28</v>
      </c>
      <c r="U42" s="20">
        <v>95.46</v>
      </c>
      <c r="V42" s="20">
        <v>91.33</v>
      </c>
      <c r="W42" s="20">
        <v>88.58</v>
      </c>
      <c r="X42" s="20">
        <v>91.61</v>
      </c>
      <c r="Y42" s="20">
        <v>92.34</v>
      </c>
      <c r="Z42" s="20">
        <v>91.11</v>
      </c>
      <c r="AA42" s="20">
        <v>87.28</v>
      </c>
    </row>
    <row r="43" s="1" customFormat="1" ht="14.25" spans="1:28">
      <c r="A43" s="39"/>
      <c r="B43" s="25"/>
      <c r="C43" s="40" t="s">
        <v>38</v>
      </c>
      <c r="D43" s="20">
        <v>86.6906</v>
      </c>
      <c r="E43" s="20">
        <v>90.7773</v>
      </c>
      <c r="F43" s="20">
        <v>92.0455</v>
      </c>
      <c r="G43" s="20">
        <v>92.2381</v>
      </c>
      <c r="H43" s="20">
        <v>90.2669</v>
      </c>
      <c r="I43" s="20">
        <v>90.4147</v>
      </c>
      <c r="J43" s="20">
        <v>89.4062</v>
      </c>
      <c r="K43" s="20">
        <v>87.1147</v>
      </c>
      <c r="L43" s="20">
        <v>91.7646</v>
      </c>
      <c r="M43" s="20">
        <v>90.8618</v>
      </c>
      <c r="N43" s="20">
        <v>88.4312</v>
      </c>
      <c r="O43" s="20">
        <v>83.3149</v>
      </c>
      <c r="P43" s="20">
        <v>83.2128</v>
      </c>
      <c r="Q43" s="20">
        <v>89.5154</v>
      </c>
      <c r="R43" s="20">
        <v>93.0072</v>
      </c>
      <c r="S43" s="20">
        <v>94.959</v>
      </c>
      <c r="T43" s="20">
        <v>99.1813</v>
      </c>
      <c r="U43" s="20">
        <v>98.8486</v>
      </c>
      <c r="V43" s="20">
        <v>95.2811</v>
      </c>
      <c r="W43" s="20">
        <v>88.799</v>
      </c>
      <c r="X43" s="20">
        <v>91.9811</v>
      </c>
      <c r="Y43" s="20">
        <v>93.0829</v>
      </c>
      <c r="Z43" s="20">
        <v>90.992</v>
      </c>
      <c r="AA43" s="20">
        <v>86.1291</v>
      </c>
      <c r="AB43" s="21">
        <f>MAX(E43:AA43)</f>
        <v>99.1813</v>
      </c>
    </row>
    <row r="44" s="1" customFormat="1" ht="14.25" hidden="1" spans="1:27">
      <c r="A44" s="15"/>
      <c r="B44" s="41"/>
      <c r="C44" s="17" t="s">
        <v>39</v>
      </c>
      <c r="D44" s="20">
        <f t="shared" ref="D44:AA44" si="13">D42-D43</f>
        <v>-0.440600000000003</v>
      </c>
      <c r="E44" s="20">
        <f t="shared" si="13"/>
        <v>-1.0273</v>
      </c>
      <c r="F44" s="20">
        <f t="shared" si="13"/>
        <v>-2.7955</v>
      </c>
      <c r="G44" s="20">
        <f t="shared" si="13"/>
        <v>-2.68810000000001</v>
      </c>
      <c r="H44" s="20">
        <f t="shared" si="13"/>
        <v>-0.0869</v>
      </c>
      <c r="I44" s="20">
        <f t="shared" si="13"/>
        <v>-4.65469999999999</v>
      </c>
      <c r="J44" s="20">
        <f t="shared" si="13"/>
        <v>-3.2962</v>
      </c>
      <c r="K44" s="20">
        <f t="shared" si="13"/>
        <v>5.1653</v>
      </c>
      <c r="L44" s="20">
        <f t="shared" si="13"/>
        <v>0.845399999999998</v>
      </c>
      <c r="M44" s="20">
        <f t="shared" si="13"/>
        <v>2.7482</v>
      </c>
      <c r="N44" s="20">
        <f t="shared" si="13"/>
        <v>5.0188</v>
      </c>
      <c r="O44" s="20">
        <f t="shared" si="13"/>
        <v>4.9051</v>
      </c>
      <c r="P44" s="20">
        <f t="shared" si="13"/>
        <v>9.0972</v>
      </c>
      <c r="Q44" s="20">
        <f t="shared" si="13"/>
        <v>4.7646</v>
      </c>
      <c r="R44" s="20">
        <f t="shared" si="13"/>
        <v>1.3528</v>
      </c>
      <c r="S44" s="20">
        <f t="shared" si="13"/>
        <v>0.370999999999995</v>
      </c>
      <c r="T44" s="20">
        <f t="shared" si="13"/>
        <v>-3.90129999999999</v>
      </c>
      <c r="U44" s="20">
        <f t="shared" si="13"/>
        <v>-3.38860000000001</v>
      </c>
      <c r="V44" s="20">
        <f t="shared" si="13"/>
        <v>-3.9511</v>
      </c>
      <c r="W44" s="20">
        <f t="shared" si="13"/>
        <v>-0.219000000000008</v>
      </c>
      <c r="X44" s="20">
        <f t="shared" si="13"/>
        <v>-0.371099999999998</v>
      </c>
      <c r="Y44" s="20">
        <f t="shared" si="13"/>
        <v>-0.742899999999992</v>
      </c>
      <c r="Z44" s="20">
        <f t="shared" si="13"/>
        <v>0.117999999999995</v>
      </c>
      <c r="AA44" s="20">
        <f t="shared" si="13"/>
        <v>1.15090000000001</v>
      </c>
    </row>
    <row r="45" s="1" customFormat="1" ht="20" hidden="1" customHeight="1" spans="1:27">
      <c r="A45" s="15">
        <v>45976</v>
      </c>
      <c r="B45" s="38">
        <v>4303121811816</v>
      </c>
      <c r="C45" s="17" t="s">
        <v>37</v>
      </c>
      <c r="D45" s="19">
        <v>86.23</v>
      </c>
      <c r="E45" s="19">
        <v>87.88</v>
      </c>
      <c r="F45" s="19">
        <v>89.65</v>
      </c>
      <c r="G45" s="19">
        <v>89.65</v>
      </c>
      <c r="H45" s="19">
        <v>89.68</v>
      </c>
      <c r="I45" s="19">
        <v>89.76</v>
      </c>
      <c r="J45" s="19">
        <v>86.55</v>
      </c>
      <c r="K45" s="19">
        <v>86.61</v>
      </c>
      <c r="L45" s="19">
        <v>87.58</v>
      </c>
      <c r="M45" s="19">
        <v>88.32</v>
      </c>
      <c r="N45" s="19">
        <v>89.89</v>
      </c>
      <c r="O45" s="19">
        <v>86.58</v>
      </c>
      <c r="P45" s="19">
        <v>87.68</v>
      </c>
      <c r="Q45" s="19">
        <v>89.28</v>
      </c>
      <c r="R45" s="19">
        <v>89.33</v>
      </c>
      <c r="S45" s="19">
        <v>89.85</v>
      </c>
      <c r="T45" s="19">
        <v>89.23</v>
      </c>
      <c r="U45" s="19">
        <v>88.68</v>
      </c>
      <c r="V45" s="19">
        <v>87.31</v>
      </c>
      <c r="W45" s="19">
        <v>85.32</v>
      </c>
      <c r="X45" s="19">
        <v>85.11</v>
      </c>
      <c r="Y45" s="19">
        <v>86.38</v>
      </c>
      <c r="Z45" s="19">
        <v>83.28</v>
      </c>
      <c r="AA45" s="19">
        <v>83.11</v>
      </c>
    </row>
    <row r="46" s="1" customFormat="1" ht="14.25" spans="1:28">
      <c r="A46" s="39"/>
      <c r="B46" s="25"/>
      <c r="C46" s="40" t="s">
        <v>38</v>
      </c>
      <c r="D46" s="19">
        <v>88.4312</v>
      </c>
      <c r="E46" s="19">
        <v>90.9515</v>
      </c>
      <c r="F46" s="19">
        <v>92.3211</v>
      </c>
      <c r="G46" s="19">
        <v>92.4528</v>
      </c>
      <c r="H46" s="19">
        <v>90.8706</v>
      </c>
      <c r="I46" s="19">
        <v>90.9955</v>
      </c>
      <c r="J46" s="19">
        <v>88.2957</v>
      </c>
      <c r="K46" s="19">
        <v>87.685</v>
      </c>
      <c r="L46" s="19">
        <v>92.4493</v>
      </c>
      <c r="M46" s="19">
        <v>91.0078</v>
      </c>
      <c r="N46" s="19">
        <v>90.5467</v>
      </c>
      <c r="O46" s="19">
        <v>83.7742</v>
      </c>
      <c r="P46" s="19">
        <v>86.6483</v>
      </c>
      <c r="Q46" s="19">
        <v>90.4675</v>
      </c>
      <c r="R46" s="19">
        <v>92.2592</v>
      </c>
      <c r="S46" s="19">
        <v>95.9992</v>
      </c>
      <c r="T46" s="19">
        <v>97.4266</v>
      </c>
      <c r="U46" s="19">
        <v>98.5195</v>
      </c>
      <c r="V46" s="19">
        <v>92.833</v>
      </c>
      <c r="W46" s="19">
        <v>89.0331</v>
      </c>
      <c r="X46" s="19">
        <v>92.3683</v>
      </c>
      <c r="Y46" s="19">
        <v>91.3528</v>
      </c>
      <c r="Z46" s="19">
        <v>90.9146</v>
      </c>
      <c r="AA46" s="19">
        <v>87.9525</v>
      </c>
      <c r="AB46" s="21">
        <f>MAX(E46:AA46)</f>
        <v>98.5195</v>
      </c>
    </row>
    <row r="47" s="1" customFormat="1" ht="14.25" hidden="1" spans="1:27">
      <c r="A47" s="15"/>
      <c r="B47" s="41"/>
      <c r="C47" s="17" t="s">
        <v>39</v>
      </c>
      <c r="D47" s="19">
        <f t="shared" ref="D47:AA47" si="14">D45-D46</f>
        <v>-2.2012</v>
      </c>
      <c r="E47" s="19">
        <f t="shared" si="14"/>
        <v>-3.0715</v>
      </c>
      <c r="F47" s="19">
        <f t="shared" si="14"/>
        <v>-2.6711</v>
      </c>
      <c r="G47" s="19">
        <f t="shared" si="14"/>
        <v>-2.80279999999999</v>
      </c>
      <c r="H47" s="19">
        <f t="shared" si="14"/>
        <v>-1.19059999999999</v>
      </c>
      <c r="I47" s="19">
        <f t="shared" si="14"/>
        <v>-1.2355</v>
      </c>
      <c r="J47" s="19">
        <f t="shared" si="14"/>
        <v>-1.7457</v>
      </c>
      <c r="K47" s="19">
        <f t="shared" si="14"/>
        <v>-1.075</v>
      </c>
      <c r="L47" s="19">
        <f t="shared" si="14"/>
        <v>-4.8693</v>
      </c>
      <c r="M47" s="19">
        <f t="shared" si="14"/>
        <v>-2.68780000000001</v>
      </c>
      <c r="N47" s="19">
        <f t="shared" si="14"/>
        <v>-0.656700000000001</v>
      </c>
      <c r="O47" s="19">
        <f t="shared" si="14"/>
        <v>2.8058</v>
      </c>
      <c r="P47" s="19">
        <f t="shared" si="14"/>
        <v>1.0317</v>
      </c>
      <c r="Q47" s="19">
        <f t="shared" si="14"/>
        <v>-1.1875</v>
      </c>
      <c r="R47" s="19">
        <f t="shared" si="14"/>
        <v>-2.92920000000001</v>
      </c>
      <c r="S47" s="19">
        <f t="shared" si="14"/>
        <v>-6.14920000000001</v>
      </c>
      <c r="T47" s="19">
        <f t="shared" si="14"/>
        <v>-8.19659999999999</v>
      </c>
      <c r="U47" s="19">
        <f t="shared" si="14"/>
        <v>-9.83949999999999</v>
      </c>
      <c r="V47" s="19">
        <f t="shared" si="14"/>
        <v>-5.523</v>
      </c>
      <c r="W47" s="19">
        <f t="shared" si="14"/>
        <v>-3.71310000000001</v>
      </c>
      <c r="X47" s="19">
        <f t="shared" si="14"/>
        <v>-7.25830000000001</v>
      </c>
      <c r="Y47" s="19">
        <f t="shared" si="14"/>
        <v>-4.97280000000001</v>
      </c>
      <c r="Z47" s="19">
        <f t="shared" si="14"/>
        <v>-7.63459999999999</v>
      </c>
      <c r="AA47" s="19">
        <f t="shared" si="14"/>
        <v>-4.8425</v>
      </c>
    </row>
    <row r="48" s="1" customFormat="1" ht="20" hidden="1" customHeight="1" spans="1:27">
      <c r="A48" s="15">
        <v>45977</v>
      </c>
      <c r="B48" s="38">
        <v>4303121811816</v>
      </c>
      <c r="C48" s="17" t="s">
        <v>37</v>
      </c>
      <c r="D48" s="20">
        <v>83.23</v>
      </c>
      <c r="E48" s="20">
        <v>85.22</v>
      </c>
      <c r="F48" s="20">
        <v>86.45</v>
      </c>
      <c r="G48" s="20">
        <v>86.31</v>
      </c>
      <c r="H48" s="20">
        <v>86.45</v>
      </c>
      <c r="I48" s="20">
        <v>84.28</v>
      </c>
      <c r="J48" s="20">
        <v>81.06</v>
      </c>
      <c r="K48" s="20">
        <v>84.11</v>
      </c>
      <c r="L48" s="20">
        <v>85.28</v>
      </c>
      <c r="M48" s="20">
        <v>85.55</v>
      </c>
      <c r="N48" s="20">
        <v>85.61</v>
      </c>
      <c r="O48" s="20">
        <v>84.38</v>
      </c>
      <c r="P48" s="20">
        <v>84.22</v>
      </c>
      <c r="Q48" s="20">
        <v>85.42</v>
      </c>
      <c r="R48" s="20">
        <v>85.68</v>
      </c>
      <c r="S48" s="20">
        <v>85.84</v>
      </c>
      <c r="T48" s="20">
        <v>85.87</v>
      </c>
      <c r="U48" s="20">
        <v>85.66</v>
      </c>
      <c r="V48" s="20">
        <v>84.28</v>
      </c>
      <c r="W48" s="20">
        <v>83.68</v>
      </c>
      <c r="X48" s="20">
        <v>84.55</v>
      </c>
      <c r="Y48" s="20">
        <v>85.28</v>
      </c>
      <c r="Z48" s="20">
        <v>83.31</v>
      </c>
      <c r="AA48" s="20">
        <v>83.28</v>
      </c>
    </row>
    <row r="49" s="1" customFormat="1" ht="14.25" spans="1:28">
      <c r="A49" s="39"/>
      <c r="B49" s="25"/>
      <c r="C49" s="40" t="s">
        <v>38</v>
      </c>
      <c r="D49" s="20">
        <v>87.5301</v>
      </c>
      <c r="E49" s="20">
        <v>90.4781</v>
      </c>
      <c r="F49" s="20">
        <v>90.6257</v>
      </c>
      <c r="G49" s="20">
        <v>90.9693</v>
      </c>
      <c r="H49" s="20">
        <v>89.76</v>
      </c>
      <c r="I49" s="20">
        <v>87.12</v>
      </c>
      <c r="J49" s="20">
        <v>83.05</v>
      </c>
      <c r="K49" s="20">
        <v>76.88</v>
      </c>
      <c r="L49" s="20">
        <v>77.24</v>
      </c>
      <c r="M49" s="20">
        <v>74.75</v>
      </c>
      <c r="N49" s="20">
        <v>73.5</v>
      </c>
      <c r="O49" s="20">
        <v>68.38</v>
      </c>
      <c r="P49" s="20">
        <v>67.86</v>
      </c>
      <c r="Q49" s="20">
        <v>72</v>
      </c>
      <c r="R49" s="20">
        <v>75.88</v>
      </c>
      <c r="S49" s="20">
        <v>78.71</v>
      </c>
      <c r="T49" s="20">
        <v>81.18</v>
      </c>
      <c r="U49" s="20">
        <v>81.2</v>
      </c>
      <c r="V49" s="20">
        <v>74.7208</v>
      </c>
      <c r="W49" s="20">
        <v>75.1925</v>
      </c>
      <c r="X49" s="20">
        <v>79.4456</v>
      </c>
      <c r="Y49" s="20">
        <v>79.168</v>
      </c>
      <c r="Z49" s="20">
        <v>79.2106</v>
      </c>
      <c r="AA49" s="20">
        <v>75.5885</v>
      </c>
      <c r="AB49" s="21">
        <f>MAX(E49:AA49)</f>
        <v>90.9693</v>
      </c>
    </row>
    <row r="50" s="1" customFormat="1" ht="14.25" hidden="1" spans="1:27">
      <c r="A50" s="15"/>
      <c r="B50" s="41"/>
      <c r="C50" s="17" t="s">
        <v>39</v>
      </c>
      <c r="D50" s="20">
        <f t="shared" ref="D50:AA50" si="15">D48-D49</f>
        <v>-4.3001</v>
      </c>
      <c r="E50" s="20">
        <f t="shared" si="15"/>
        <v>-5.2581</v>
      </c>
      <c r="F50" s="20">
        <f t="shared" si="15"/>
        <v>-4.17569999999999</v>
      </c>
      <c r="G50" s="20">
        <f t="shared" si="15"/>
        <v>-4.6593</v>
      </c>
      <c r="H50" s="20">
        <f t="shared" si="15"/>
        <v>-3.31</v>
      </c>
      <c r="I50" s="20">
        <f t="shared" si="15"/>
        <v>-2.84</v>
      </c>
      <c r="J50" s="20">
        <f t="shared" si="15"/>
        <v>-1.98999999999999</v>
      </c>
      <c r="K50" s="20">
        <f t="shared" si="15"/>
        <v>7.23</v>
      </c>
      <c r="L50" s="20">
        <f t="shared" si="15"/>
        <v>8.04000000000001</v>
      </c>
      <c r="M50" s="20">
        <f t="shared" si="15"/>
        <v>10.8</v>
      </c>
      <c r="N50" s="20">
        <f t="shared" si="15"/>
        <v>12.11</v>
      </c>
      <c r="O50" s="20">
        <f t="shared" si="15"/>
        <v>16</v>
      </c>
      <c r="P50" s="20">
        <f t="shared" si="15"/>
        <v>16.36</v>
      </c>
      <c r="Q50" s="20">
        <f t="shared" si="15"/>
        <v>13.42</v>
      </c>
      <c r="R50" s="20">
        <f t="shared" si="15"/>
        <v>9.80000000000001</v>
      </c>
      <c r="S50" s="20">
        <f t="shared" si="15"/>
        <v>7.13000000000001</v>
      </c>
      <c r="T50" s="20">
        <f t="shared" si="15"/>
        <v>4.69</v>
      </c>
      <c r="U50" s="20">
        <f t="shared" si="15"/>
        <v>4.45999999999999</v>
      </c>
      <c r="V50" s="20">
        <f t="shared" si="15"/>
        <v>9.5592</v>
      </c>
      <c r="W50" s="20">
        <f t="shared" si="15"/>
        <v>8.48750000000001</v>
      </c>
      <c r="X50" s="20">
        <f t="shared" si="15"/>
        <v>5.1044</v>
      </c>
      <c r="Y50" s="20">
        <f t="shared" si="15"/>
        <v>6.11199999999999</v>
      </c>
      <c r="Z50" s="20">
        <f t="shared" si="15"/>
        <v>4.0994</v>
      </c>
      <c r="AA50" s="20">
        <f t="shared" si="15"/>
        <v>7.6915</v>
      </c>
    </row>
    <row r="51" s="1" customFormat="1" ht="20" hidden="1" customHeight="1" spans="1:27">
      <c r="A51" s="15">
        <v>45978</v>
      </c>
      <c r="B51" s="38">
        <v>4303121811816</v>
      </c>
      <c r="C51" s="17" t="s">
        <v>37</v>
      </c>
      <c r="D51" s="19">
        <v>78.69</v>
      </c>
      <c r="E51" s="19">
        <v>79.55</v>
      </c>
      <c r="F51" s="19">
        <v>79.65</v>
      </c>
      <c r="G51" s="19">
        <v>79.8</v>
      </c>
      <c r="H51" s="19">
        <v>80.22</v>
      </c>
      <c r="I51" s="19">
        <v>80.18</v>
      </c>
      <c r="J51" s="19">
        <v>80.08</v>
      </c>
      <c r="K51" s="19">
        <v>83.55</v>
      </c>
      <c r="L51" s="19">
        <v>92.77</v>
      </c>
      <c r="M51" s="19">
        <v>93.68</v>
      </c>
      <c r="N51" s="19">
        <v>94.28</v>
      </c>
      <c r="O51" s="19">
        <v>91.51</v>
      </c>
      <c r="P51" s="19">
        <v>90.06</v>
      </c>
      <c r="Q51" s="19">
        <v>96.22</v>
      </c>
      <c r="R51" s="19">
        <v>96.58</v>
      </c>
      <c r="S51" s="19">
        <v>97.33</v>
      </c>
      <c r="T51" s="19">
        <v>97.64</v>
      </c>
      <c r="U51" s="19">
        <v>96.51</v>
      </c>
      <c r="V51" s="19">
        <v>91.22</v>
      </c>
      <c r="W51" s="19">
        <v>86.18</v>
      </c>
      <c r="X51" s="19">
        <v>90.28</v>
      </c>
      <c r="Y51" s="19">
        <v>92.55</v>
      </c>
      <c r="Z51" s="19">
        <v>89.76</v>
      </c>
      <c r="AA51" s="19">
        <v>85.77</v>
      </c>
    </row>
    <row r="52" s="1" customFormat="1" ht="14.25" spans="1:28">
      <c r="A52" s="39"/>
      <c r="B52" s="25"/>
      <c r="C52" s="40" t="s">
        <v>38</v>
      </c>
      <c r="D52" s="19">
        <v>79.8547</v>
      </c>
      <c r="E52" s="19">
        <v>80.3158</v>
      </c>
      <c r="F52" s="19">
        <v>78.7477</v>
      </c>
      <c r="G52" s="19">
        <v>78.806</v>
      </c>
      <c r="H52" s="19">
        <v>80.7339</v>
      </c>
      <c r="I52" s="19">
        <v>80.8933</v>
      </c>
      <c r="J52" s="19">
        <v>80.3405</v>
      </c>
      <c r="K52" s="19">
        <v>84.8325</v>
      </c>
      <c r="L52" s="19">
        <v>95.3357</v>
      </c>
      <c r="M52" s="19">
        <v>95.5205</v>
      </c>
      <c r="N52" s="19">
        <v>97.0341</v>
      </c>
      <c r="O52" s="19">
        <v>93.991</v>
      </c>
      <c r="P52" s="19">
        <v>91.5464</v>
      </c>
      <c r="Q52" s="19">
        <v>97.5286</v>
      </c>
      <c r="R52" s="19">
        <v>99.5702</v>
      </c>
      <c r="S52" s="19">
        <v>100.487</v>
      </c>
      <c r="T52" s="19">
        <v>100.151</v>
      </c>
      <c r="U52" s="19">
        <v>99.609</v>
      </c>
      <c r="V52" s="19">
        <v>95.6718</v>
      </c>
      <c r="W52" s="19">
        <v>88.8606</v>
      </c>
      <c r="X52" s="19">
        <v>93.6443</v>
      </c>
      <c r="Y52" s="19">
        <v>93.5148</v>
      </c>
      <c r="Z52" s="19">
        <v>92.613</v>
      </c>
      <c r="AA52" s="19">
        <v>88.0898</v>
      </c>
      <c r="AB52" s="21">
        <f>MAX(E52:AA52)</f>
        <v>100.487</v>
      </c>
    </row>
    <row r="53" s="1" customFormat="1" ht="14.25" hidden="1" spans="1:27">
      <c r="A53" s="15"/>
      <c r="B53" s="41"/>
      <c r="C53" s="17" t="s">
        <v>39</v>
      </c>
      <c r="D53" s="19">
        <f t="shared" ref="D53:AA53" si="16">D51-D52</f>
        <v>-1.1647</v>
      </c>
      <c r="E53" s="19">
        <f t="shared" si="16"/>
        <v>-0.765799999999999</v>
      </c>
      <c r="F53" s="19">
        <f t="shared" si="16"/>
        <v>0.902300000000011</v>
      </c>
      <c r="G53" s="19">
        <f t="shared" si="16"/>
        <v>0.994</v>
      </c>
      <c r="H53" s="19">
        <f t="shared" si="16"/>
        <v>-0.513900000000007</v>
      </c>
      <c r="I53" s="19">
        <f t="shared" si="16"/>
        <v>-0.71329999999999</v>
      </c>
      <c r="J53" s="19">
        <f t="shared" si="16"/>
        <v>-0.260500000000008</v>
      </c>
      <c r="K53" s="19">
        <f t="shared" si="16"/>
        <v>-1.2825</v>
      </c>
      <c r="L53" s="19">
        <f t="shared" si="16"/>
        <v>-2.56570000000001</v>
      </c>
      <c r="M53" s="19">
        <f t="shared" si="16"/>
        <v>-1.84049999999999</v>
      </c>
      <c r="N53" s="19">
        <f t="shared" si="16"/>
        <v>-2.75409999999999</v>
      </c>
      <c r="O53" s="19">
        <f t="shared" si="16"/>
        <v>-2.48099999999999</v>
      </c>
      <c r="P53" s="19">
        <f t="shared" si="16"/>
        <v>-1.4864</v>
      </c>
      <c r="Q53" s="19">
        <f t="shared" si="16"/>
        <v>-1.3086</v>
      </c>
      <c r="R53" s="19">
        <f t="shared" si="16"/>
        <v>-2.9902</v>
      </c>
      <c r="S53" s="19">
        <f t="shared" si="16"/>
        <v>-3.157</v>
      </c>
      <c r="T53" s="19">
        <f t="shared" si="16"/>
        <v>-2.511</v>
      </c>
      <c r="U53" s="19">
        <f t="shared" si="16"/>
        <v>-3.09899999999999</v>
      </c>
      <c r="V53" s="19">
        <f t="shared" si="16"/>
        <v>-4.45180000000001</v>
      </c>
      <c r="W53" s="19">
        <f t="shared" si="16"/>
        <v>-2.6806</v>
      </c>
      <c r="X53" s="19">
        <f t="shared" si="16"/>
        <v>-3.3643</v>
      </c>
      <c r="Y53" s="19">
        <f t="shared" si="16"/>
        <v>-0.964799999999997</v>
      </c>
      <c r="Z53" s="19">
        <f t="shared" si="16"/>
        <v>-2.85299999999999</v>
      </c>
      <c r="AA53" s="19">
        <f t="shared" si="16"/>
        <v>-2.3198</v>
      </c>
    </row>
    <row r="54" s="1" customFormat="1" ht="20" hidden="1" customHeight="1" spans="1:27">
      <c r="A54" s="15">
        <v>45979</v>
      </c>
      <c r="B54" s="38">
        <v>4303121811816</v>
      </c>
      <c r="C54" s="17" t="s">
        <v>37</v>
      </c>
      <c r="D54" s="20">
        <v>86.31</v>
      </c>
      <c r="E54" s="20">
        <v>87.96</v>
      </c>
      <c r="F54" s="20">
        <v>89.55</v>
      </c>
      <c r="G54" s="20">
        <v>89.66</v>
      </c>
      <c r="H54" s="20">
        <v>90.28</v>
      </c>
      <c r="I54" s="20">
        <v>85.77</v>
      </c>
      <c r="J54" s="20">
        <v>86.28</v>
      </c>
      <c r="K54" s="20">
        <v>92.62</v>
      </c>
      <c r="L54" s="20">
        <v>92.58</v>
      </c>
      <c r="M54" s="20">
        <v>93.97</v>
      </c>
      <c r="N54" s="20">
        <v>94.33</v>
      </c>
      <c r="O54" s="20">
        <v>91.68</v>
      </c>
      <c r="P54" s="20">
        <v>90.22</v>
      </c>
      <c r="Q54" s="20">
        <v>96.31</v>
      </c>
      <c r="R54" s="20">
        <v>96.76</v>
      </c>
      <c r="S54" s="20">
        <v>97.61</v>
      </c>
      <c r="T54" s="20">
        <v>97.58</v>
      </c>
      <c r="U54" s="20">
        <v>96.34</v>
      </c>
      <c r="V54" s="20">
        <v>92.18</v>
      </c>
      <c r="W54" s="20">
        <v>87.65</v>
      </c>
      <c r="X54" s="20">
        <v>91.33</v>
      </c>
      <c r="Y54" s="20">
        <v>92.28</v>
      </c>
      <c r="Z54" s="20">
        <v>91.11</v>
      </c>
      <c r="AA54" s="20">
        <v>87.56</v>
      </c>
    </row>
    <row r="55" s="1" customFormat="1" ht="14.25" spans="1:28">
      <c r="A55" s="39"/>
      <c r="B55" s="25"/>
      <c r="C55" s="40" t="s">
        <v>38</v>
      </c>
      <c r="D55" s="20">
        <v>89.0014</v>
      </c>
      <c r="E55" s="20">
        <v>90.5995</v>
      </c>
      <c r="F55" s="20">
        <v>90.8876</v>
      </c>
      <c r="G55" s="20">
        <v>91.1609</v>
      </c>
      <c r="H55" s="20">
        <v>90.0627</v>
      </c>
      <c r="I55" s="20">
        <v>91.4074</v>
      </c>
      <c r="J55" s="20">
        <v>88.8976</v>
      </c>
      <c r="K55" s="20">
        <v>87.6128</v>
      </c>
      <c r="L55" s="20">
        <v>96.0907</v>
      </c>
      <c r="M55" s="20">
        <v>93.5616</v>
      </c>
      <c r="N55" s="20">
        <v>96.1101</v>
      </c>
      <c r="O55" s="20">
        <v>87.1358</v>
      </c>
      <c r="P55" s="20">
        <v>87.5406</v>
      </c>
      <c r="Q55" s="20">
        <v>96.932</v>
      </c>
      <c r="R55" s="20">
        <v>101.265</v>
      </c>
      <c r="S55" s="20">
        <v>100.822</v>
      </c>
      <c r="T55" s="20">
        <v>102.664</v>
      </c>
      <c r="U55" s="20">
        <v>101.937</v>
      </c>
      <c r="V55" s="20">
        <v>99.6019</v>
      </c>
      <c r="W55" s="20">
        <v>92.1202</v>
      </c>
      <c r="X55" s="20">
        <v>96.8563</v>
      </c>
      <c r="Y55" s="20">
        <v>95.4677</v>
      </c>
      <c r="Z55" s="20">
        <v>94.3677</v>
      </c>
      <c r="AA55" s="20">
        <v>92.3859</v>
      </c>
      <c r="AB55" s="21">
        <f>MAX(E55:AA55)</f>
        <v>102.664</v>
      </c>
    </row>
    <row r="56" s="1" customFormat="1" ht="14.25" hidden="1" spans="1:27">
      <c r="A56" s="15"/>
      <c r="B56" s="41"/>
      <c r="C56" s="17" t="s">
        <v>39</v>
      </c>
      <c r="D56" s="20">
        <f t="shared" ref="D56:AA56" si="17">D54-D55</f>
        <v>-2.6914</v>
      </c>
      <c r="E56" s="20">
        <f t="shared" si="17"/>
        <v>-2.63950000000001</v>
      </c>
      <c r="F56" s="20">
        <f t="shared" si="17"/>
        <v>-1.33760000000001</v>
      </c>
      <c r="G56" s="20">
        <f t="shared" si="17"/>
        <v>-1.5009</v>
      </c>
      <c r="H56" s="20">
        <f t="shared" si="17"/>
        <v>0.217299999999994</v>
      </c>
      <c r="I56" s="20">
        <f t="shared" si="17"/>
        <v>-5.6374</v>
      </c>
      <c r="J56" s="20">
        <f t="shared" si="17"/>
        <v>-2.6176</v>
      </c>
      <c r="K56" s="20">
        <f t="shared" si="17"/>
        <v>5.00720000000001</v>
      </c>
      <c r="L56" s="20">
        <f t="shared" si="17"/>
        <v>-3.5107</v>
      </c>
      <c r="M56" s="20">
        <f t="shared" si="17"/>
        <v>0.4084</v>
      </c>
      <c r="N56" s="20">
        <f t="shared" si="17"/>
        <v>-1.7801</v>
      </c>
      <c r="O56" s="20">
        <f t="shared" si="17"/>
        <v>4.5442</v>
      </c>
      <c r="P56" s="20">
        <f t="shared" si="17"/>
        <v>2.6794</v>
      </c>
      <c r="Q56" s="20">
        <f t="shared" si="17"/>
        <v>-0.622</v>
      </c>
      <c r="R56" s="20">
        <f t="shared" si="17"/>
        <v>-4.505</v>
      </c>
      <c r="S56" s="20">
        <f t="shared" si="17"/>
        <v>-3.212</v>
      </c>
      <c r="T56" s="20">
        <f t="shared" si="17"/>
        <v>-5.084</v>
      </c>
      <c r="U56" s="20">
        <f t="shared" si="17"/>
        <v>-5.59699999999999</v>
      </c>
      <c r="V56" s="20">
        <f t="shared" si="17"/>
        <v>-7.42189999999999</v>
      </c>
      <c r="W56" s="20">
        <f t="shared" si="17"/>
        <v>-4.47019999999999</v>
      </c>
      <c r="X56" s="20">
        <f t="shared" si="17"/>
        <v>-5.52630000000001</v>
      </c>
      <c r="Y56" s="20">
        <f t="shared" si="17"/>
        <v>-3.18769999999999</v>
      </c>
      <c r="Z56" s="20">
        <f t="shared" si="17"/>
        <v>-3.2577</v>
      </c>
      <c r="AA56" s="20">
        <f t="shared" si="17"/>
        <v>-4.8259</v>
      </c>
    </row>
    <row r="57" s="1" customFormat="1" ht="20" hidden="1" customHeight="1" spans="1:27">
      <c r="A57" s="15">
        <v>45980</v>
      </c>
      <c r="B57" s="38">
        <v>4303121811816</v>
      </c>
      <c r="C57" s="17" t="s">
        <v>37</v>
      </c>
      <c r="D57" s="19">
        <v>87.11</v>
      </c>
      <c r="E57" s="19">
        <v>91.33</v>
      </c>
      <c r="F57" s="19">
        <v>91.76</v>
      </c>
      <c r="G57" s="19">
        <v>92.33</v>
      </c>
      <c r="H57" s="19">
        <v>92.51</v>
      </c>
      <c r="I57" s="19">
        <v>90.86</v>
      </c>
      <c r="J57" s="19">
        <v>85.21</v>
      </c>
      <c r="K57" s="19">
        <v>92.34</v>
      </c>
      <c r="L57" s="19">
        <v>92.58</v>
      </c>
      <c r="M57" s="19">
        <v>93.11</v>
      </c>
      <c r="N57" s="19">
        <v>92.22</v>
      </c>
      <c r="O57" s="19">
        <v>89.51</v>
      </c>
      <c r="P57" s="19">
        <v>86.11</v>
      </c>
      <c r="Q57" s="19">
        <v>93.36</v>
      </c>
      <c r="R57" s="19">
        <v>97.33</v>
      </c>
      <c r="S57" s="19">
        <v>98.61</v>
      </c>
      <c r="T57" s="19">
        <v>98.55</v>
      </c>
      <c r="U57" s="19">
        <v>97.13</v>
      </c>
      <c r="V57" s="19">
        <v>93.22</v>
      </c>
      <c r="W57" s="19">
        <v>88.24</v>
      </c>
      <c r="X57" s="19">
        <v>92.55</v>
      </c>
      <c r="Y57" s="19">
        <v>93.11</v>
      </c>
      <c r="Z57" s="19">
        <v>90.35</v>
      </c>
      <c r="AA57" s="19">
        <v>88.61</v>
      </c>
    </row>
    <row r="58" s="1" customFormat="1" ht="14.25" spans="1:28">
      <c r="A58" s="39"/>
      <c r="B58" s="25"/>
      <c r="C58" s="40" t="s">
        <v>38</v>
      </c>
      <c r="D58" s="19">
        <v>90.0258</v>
      </c>
      <c r="E58" s="19">
        <v>93.368</v>
      </c>
      <c r="F58" s="19">
        <v>93.4577</v>
      </c>
      <c r="G58" s="19">
        <v>94.1494</v>
      </c>
      <c r="H58" s="19">
        <v>94.8746</v>
      </c>
      <c r="I58" s="19">
        <v>92.224</v>
      </c>
      <c r="J58" s="19">
        <v>90.6963</v>
      </c>
      <c r="K58" s="19">
        <v>89.8269</v>
      </c>
      <c r="L58" s="19">
        <v>97.4336</v>
      </c>
      <c r="M58" s="19">
        <v>93.9048</v>
      </c>
      <c r="N58" s="19">
        <v>91.8122</v>
      </c>
      <c r="O58" s="19">
        <v>90.5995</v>
      </c>
      <c r="P58" s="19">
        <v>83.9326</v>
      </c>
      <c r="Q58" s="19">
        <v>91.8262</v>
      </c>
      <c r="R58" s="19">
        <v>95.2424</v>
      </c>
      <c r="S58" s="19">
        <v>98.4016</v>
      </c>
      <c r="T58" s="19">
        <v>100.114</v>
      </c>
      <c r="U58" s="19">
        <v>100.348</v>
      </c>
      <c r="V58" s="19">
        <v>95.668</v>
      </c>
      <c r="W58" s="19">
        <v>91.2754</v>
      </c>
      <c r="X58" s="19">
        <v>95.6525</v>
      </c>
      <c r="Y58" s="19">
        <v>96.5448</v>
      </c>
      <c r="Z58" s="19">
        <v>95.0822</v>
      </c>
      <c r="AA58" s="19">
        <v>91.0571</v>
      </c>
      <c r="AB58" s="21">
        <f>MAX(E58:AA58)</f>
        <v>100.348</v>
      </c>
    </row>
    <row r="59" s="1" customFormat="1" ht="14.25" hidden="1" spans="1:27">
      <c r="A59" s="15"/>
      <c r="B59" s="41"/>
      <c r="C59" s="17" t="s">
        <v>39</v>
      </c>
      <c r="D59" s="19">
        <f t="shared" ref="D59:AA59" si="18">D57-D58</f>
        <v>-2.9158</v>
      </c>
      <c r="E59" s="19">
        <f t="shared" si="18"/>
        <v>-2.038</v>
      </c>
      <c r="F59" s="19">
        <f t="shared" si="18"/>
        <v>-1.6977</v>
      </c>
      <c r="G59" s="19">
        <f t="shared" si="18"/>
        <v>-1.8194</v>
      </c>
      <c r="H59" s="19">
        <f t="shared" si="18"/>
        <v>-2.3646</v>
      </c>
      <c r="I59" s="19">
        <f t="shared" si="18"/>
        <v>-1.364</v>
      </c>
      <c r="J59" s="19">
        <f t="shared" si="18"/>
        <v>-5.4863</v>
      </c>
      <c r="K59" s="19">
        <f t="shared" si="18"/>
        <v>2.51310000000001</v>
      </c>
      <c r="L59" s="19">
        <f t="shared" si="18"/>
        <v>-4.8536</v>
      </c>
      <c r="M59" s="19">
        <f t="shared" si="18"/>
        <v>-0.794799999999995</v>
      </c>
      <c r="N59" s="19">
        <f t="shared" si="18"/>
        <v>0.407799999999995</v>
      </c>
      <c r="O59" s="19">
        <f t="shared" si="18"/>
        <v>-1.0895</v>
      </c>
      <c r="P59" s="19">
        <f t="shared" si="18"/>
        <v>2.17740000000001</v>
      </c>
      <c r="Q59" s="19">
        <f t="shared" si="18"/>
        <v>1.5338</v>
      </c>
      <c r="R59" s="19">
        <f t="shared" si="18"/>
        <v>2.08759999999999</v>
      </c>
      <c r="S59" s="19">
        <f t="shared" si="18"/>
        <v>0.208399999999997</v>
      </c>
      <c r="T59" s="19">
        <f t="shared" si="18"/>
        <v>-1.56400000000001</v>
      </c>
      <c r="U59" s="19">
        <f t="shared" si="18"/>
        <v>-3.218</v>
      </c>
      <c r="V59" s="19">
        <f t="shared" si="18"/>
        <v>-2.44800000000001</v>
      </c>
      <c r="W59" s="19">
        <f t="shared" si="18"/>
        <v>-3.03540000000001</v>
      </c>
      <c r="X59" s="19">
        <f t="shared" si="18"/>
        <v>-3.10250000000001</v>
      </c>
      <c r="Y59" s="19">
        <f t="shared" si="18"/>
        <v>-3.4348</v>
      </c>
      <c r="Z59" s="19">
        <f t="shared" si="18"/>
        <v>-4.73220000000001</v>
      </c>
      <c r="AA59" s="19">
        <f t="shared" si="18"/>
        <v>-2.44710000000001</v>
      </c>
    </row>
    <row r="60" s="1" customFormat="1" ht="20" hidden="1" customHeight="1" spans="1:27">
      <c r="A60" s="15">
        <v>45981</v>
      </c>
      <c r="B60" s="38">
        <v>4303121811816</v>
      </c>
      <c r="C60" s="17" t="s">
        <v>37</v>
      </c>
      <c r="D60" s="20">
        <v>87.21</v>
      </c>
      <c r="E60" s="20">
        <v>91.46</v>
      </c>
      <c r="F60" s="20">
        <v>91.58</v>
      </c>
      <c r="G60" s="20">
        <v>92.44</v>
      </c>
      <c r="H60" s="20">
        <v>92.66</v>
      </c>
      <c r="I60" s="20">
        <v>90.76</v>
      </c>
      <c r="J60" s="20">
        <v>85.19</v>
      </c>
      <c r="K60" s="20">
        <v>92.51</v>
      </c>
      <c r="L60" s="20">
        <v>92.56</v>
      </c>
      <c r="M60" s="20">
        <v>93.28</v>
      </c>
      <c r="N60" s="20">
        <v>92.32</v>
      </c>
      <c r="O60" s="20">
        <v>89.66</v>
      </c>
      <c r="P60" s="20">
        <v>86.51</v>
      </c>
      <c r="Q60" s="20">
        <v>93.44</v>
      </c>
      <c r="R60" s="20">
        <v>97.43</v>
      </c>
      <c r="S60" s="20">
        <v>98.58</v>
      </c>
      <c r="T60" s="20">
        <v>98.44</v>
      </c>
      <c r="U60" s="20">
        <v>97.32</v>
      </c>
      <c r="V60" s="20">
        <v>93.19</v>
      </c>
      <c r="W60" s="20">
        <v>88.31</v>
      </c>
      <c r="X60" s="20">
        <v>92.49</v>
      </c>
      <c r="Y60" s="20">
        <v>93.23</v>
      </c>
      <c r="Z60" s="20">
        <v>90.26</v>
      </c>
      <c r="AA60" s="20">
        <v>88.34</v>
      </c>
    </row>
    <row r="61" s="1" customFormat="1" ht="14.25" spans="1:28">
      <c r="A61" s="39"/>
      <c r="B61" s="25"/>
      <c r="C61" s="40" t="s">
        <v>38</v>
      </c>
      <c r="D61" s="20">
        <v>91.3827</v>
      </c>
      <c r="E61" s="20">
        <v>94.6827</v>
      </c>
      <c r="F61" s="20">
        <v>94.8144</v>
      </c>
      <c r="G61" s="20">
        <v>95.5979</v>
      </c>
      <c r="H61" s="20">
        <v>95.5891</v>
      </c>
      <c r="I61" s="20">
        <v>93.8256</v>
      </c>
      <c r="J61" s="20">
        <v>90.7984</v>
      </c>
      <c r="K61" s="20">
        <v>89.0947</v>
      </c>
      <c r="L61" s="20">
        <v>98.7659</v>
      </c>
      <c r="M61" s="20">
        <v>97.0763</v>
      </c>
      <c r="N61" s="20">
        <v>91.4373</v>
      </c>
      <c r="O61" s="20">
        <v>92.4563</v>
      </c>
      <c r="P61" s="20">
        <v>90.0733</v>
      </c>
      <c r="Q61" s="20">
        <v>93.1234</v>
      </c>
      <c r="R61" s="20">
        <v>99.0598</v>
      </c>
      <c r="S61" s="20">
        <v>100.544</v>
      </c>
      <c r="T61" s="20">
        <v>101.8</v>
      </c>
      <c r="U61" s="20">
        <v>102.157</v>
      </c>
      <c r="V61" s="20">
        <v>95.1515</v>
      </c>
      <c r="W61" s="20">
        <v>92.5489</v>
      </c>
      <c r="X61" s="20">
        <v>98.7202</v>
      </c>
      <c r="Y61" s="20">
        <v>97.9704</v>
      </c>
      <c r="Z61" s="20">
        <v>96.1541</v>
      </c>
      <c r="AA61" s="20">
        <v>92.3894</v>
      </c>
      <c r="AB61" s="21">
        <f>MAX(E61:AA61)</f>
        <v>102.157</v>
      </c>
    </row>
    <row r="62" s="1" customFormat="1" ht="14.25" hidden="1" spans="1:27">
      <c r="A62" s="15"/>
      <c r="B62" s="41"/>
      <c r="C62" s="17" t="s">
        <v>39</v>
      </c>
      <c r="D62" s="20">
        <f t="shared" ref="D62:AA62" si="19">D60-D61</f>
        <v>-4.17270000000001</v>
      </c>
      <c r="E62" s="20">
        <f t="shared" si="19"/>
        <v>-3.2227</v>
      </c>
      <c r="F62" s="20">
        <f t="shared" si="19"/>
        <v>-3.23440000000001</v>
      </c>
      <c r="G62" s="20">
        <f t="shared" si="19"/>
        <v>-3.1579</v>
      </c>
      <c r="H62" s="20">
        <f t="shared" si="19"/>
        <v>-2.92910000000001</v>
      </c>
      <c r="I62" s="20">
        <f t="shared" si="19"/>
        <v>-3.06559999999999</v>
      </c>
      <c r="J62" s="20">
        <f t="shared" si="19"/>
        <v>-5.6084</v>
      </c>
      <c r="K62" s="20">
        <f t="shared" si="19"/>
        <v>3.4153</v>
      </c>
      <c r="L62" s="20">
        <f t="shared" si="19"/>
        <v>-6.2059</v>
      </c>
      <c r="M62" s="20">
        <f t="shared" si="19"/>
        <v>-3.7963</v>
      </c>
      <c r="N62" s="20">
        <f t="shared" si="19"/>
        <v>0.8827</v>
      </c>
      <c r="O62" s="20">
        <f t="shared" si="19"/>
        <v>-2.7963</v>
      </c>
      <c r="P62" s="20">
        <f t="shared" si="19"/>
        <v>-3.5633</v>
      </c>
      <c r="Q62" s="20">
        <f t="shared" si="19"/>
        <v>0.316599999999994</v>
      </c>
      <c r="R62" s="20">
        <f t="shared" si="19"/>
        <v>-1.62979999999999</v>
      </c>
      <c r="S62" s="20">
        <f t="shared" si="19"/>
        <v>-1.964</v>
      </c>
      <c r="T62" s="20">
        <f t="shared" si="19"/>
        <v>-3.36</v>
      </c>
      <c r="U62" s="20">
        <f t="shared" si="19"/>
        <v>-4.837</v>
      </c>
      <c r="V62" s="20">
        <f t="shared" si="19"/>
        <v>-1.9615</v>
      </c>
      <c r="W62" s="20">
        <f t="shared" si="19"/>
        <v>-4.2389</v>
      </c>
      <c r="X62" s="20">
        <f t="shared" si="19"/>
        <v>-6.23020000000001</v>
      </c>
      <c r="Y62" s="20">
        <f t="shared" si="19"/>
        <v>-4.74039999999999</v>
      </c>
      <c r="Z62" s="20">
        <f t="shared" si="19"/>
        <v>-5.89409999999999</v>
      </c>
      <c r="AA62" s="20">
        <f t="shared" si="19"/>
        <v>-4.04939999999999</v>
      </c>
    </row>
    <row r="63" s="1" customFormat="1" ht="20" hidden="1" customHeight="1" spans="1:27">
      <c r="A63" s="15">
        <v>45982</v>
      </c>
      <c r="B63" s="38">
        <v>4303121811816</v>
      </c>
      <c r="C63" s="17" t="s">
        <v>37</v>
      </c>
      <c r="D63" s="19">
        <v>88.16</v>
      </c>
      <c r="E63" s="19">
        <v>91.55</v>
      </c>
      <c r="F63" s="19">
        <v>91.48</v>
      </c>
      <c r="G63" s="19">
        <v>93.22</v>
      </c>
      <c r="H63" s="19">
        <v>93.18</v>
      </c>
      <c r="I63" s="19">
        <v>91.25</v>
      </c>
      <c r="J63" s="19">
        <v>87.65</v>
      </c>
      <c r="K63" s="19">
        <v>93.1</v>
      </c>
      <c r="L63" s="19">
        <v>93.56</v>
      </c>
      <c r="M63" s="19">
        <v>94.18</v>
      </c>
      <c r="N63" s="19">
        <v>96.89</v>
      </c>
      <c r="O63" s="19">
        <v>93.56</v>
      </c>
      <c r="P63" s="19">
        <v>91.21</v>
      </c>
      <c r="Q63" s="19">
        <v>96.89</v>
      </c>
      <c r="R63" s="19">
        <v>98.66</v>
      </c>
      <c r="S63" s="19">
        <v>98.76</v>
      </c>
      <c r="T63" s="19">
        <v>98.13</v>
      </c>
      <c r="U63" s="19">
        <v>97.53</v>
      </c>
      <c r="V63" s="19">
        <v>94.21</v>
      </c>
      <c r="W63" s="19">
        <v>88.76</v>
      </c>
      <c r="X63" s="19">
        <v>92.23</v>
      </c>
      <c r="Y63" s="19">
        <v>93.54</v>
      </c>
      <c r="Z63" s="19">
        <v>91.11</v>
      </c>
      <c r="AA63" s="19">
        <v>88.61</v>
      </c>
    </row>
    <row r="64" s="1" customFormat="1" ht="14.25" spans="1:28">
      <c r="A64" s="39"/>
      <c r="B64" s="25"/>
      <c r="C64" s="40" t="s">
        <v>38</v>
      </c>
      <c r="D64" s="19">
        <v>93.8978</v>
      </c>
      <c r="E64" s="19">
        <v>97.1203</v>
      </c>
      <c r="F64" s="19">
        <v>97.2022</v>
      </c>
      <c r="G64" s="19">
        <v>97.4565</v>
      </c>
      <c r="H64" s="19">
        <v>98.1446</v>
      </c>
      <c r="I64" s="19">
        <v>96.9249</v>
      </c>
      <c r="J64" s="19">
        <v>93.4507</v>
      </c>
      <c r="K64" s="19">
        <v>92.7678</v>
      </c>
      <c r="L64" s="19">
        <v>98.1041</v>
      </c>
      <c r="M64" s="19">
        <v>96.5061</v>
      </c>
      <c r="N64" s="19">
        <v>92.6957</v>
      </c>
      <c r="O64" s="19">
        <v>88.0739</v>
      </c>
      <c r="P64" s="19">
        <v>90.0346</v>
      </c>
      <c r="Q64" s="19">
        <v>95.0787</v>
      </c>
      <c r="R64" s="19">
        <v>99.8657</v>
      </c>
      <c r="S64" s="19">
        <v>100.899</v>
      </c>
      <c r="T64" s="19">
        <v>101.434</v>
      </c>
      <c r="U64" s="19">
        <v>100.03</v>
      </c>
      <c r="V64" s="19">
        <v>96.8547</v>
      </c>
      <c r="W64" s="19">
        <v>91.6678</v>
      </c>
      <c r="X64" s="19">
        <v>94.8746</v>
      </c>
      <c r="Y64" s="19">
        <v>96.1875</v>
      </c>
      <c r="Z64" s="19">
        <v>94.8974</v>
      </c>
      <c r="AA64" s="19">
        <v>89.848</v>
      </c>
      <c r="AB64" s="21">
        <f>MAX(E64:AA64)</f>
        <v>101.434</v>
      </c>
    </row>
    <row r="65" s="1" customFormat="1" ht="14.25" hidden="1" spans="1:27">
      <c r="A65" s="15"/>
      <c r="B65" s="41"/>
      <c r="C65" s="17" t="s">
        <v>39</v>
      </c>
      <c r="D65" s="19">
        <f t="shared" ref="D65:AA65" si="20">D63-D64</f>
        <v>-5.73780000000001</v>
      </c>
      <c r="E65" s="19">
        <f t="shared" si="20"/>
        <v>-5.5703</v>
      </c>
      <c r="F65" s="19">
        <f t="shared" si="20"/>
        <v>-5.7222</v>
      </c>
      <c r="G65" s="19">
        <f t="shared" si="20"/>
        <v>-4.23650000000001</v>
      </c>
      <c r="H65" s="19">
        <f t="shared" si="20"/>
        <v>-4.96459999999999</v>
      </c>
      <c r="I65" s="19">
        <f t="shared" si="20"/>
        <v>-5.67489999999999</v>
      </c>
      <c r="J65" s="19">
        <f t="shared" si="20"/>
        <v>-5.80069999999999</v>
      </c>
      <c r="K65" s="19">
        <f t="shared" si="20"/>
        <v>0.3322</v>
      </c>
      <c r="L65" s="19">
        <f t="shared" si="20"/>
        <v>-4.5441</v>
      </c>
      <c r="M65" s="19">
        <f t="shared" si="20"/>
        <v>-2.3261</v>
      </c>
      <c r="N65" s="19">
        <f t="shared" si="20"/>
        <v>4.1943</v>
      </c>
      <c r="O65" s="19">
        <f t="shared" si="20"/>
        <v>5.48610000000001</v>
      </c>
      <c r="P65" s="19">
        <f t="shared" si="20"/>
        <v>1.1754</v>
      </c>
      <c r="Q65" s="19">
        <f t="shared" si="20"/>
        <v>1.8113</v>
      </c>
      <c r="R65" s="19">
        <f t="shared" si="20"/>
        <v>-1.20570000000001</v>
      </c>
      <c r="S65" s="19">
        <f t="shared" si="20"/>
        <v>-2.139</v>
      </c>
      <c r="T65" s="19">
        <f t="shared" si="20"/>
        <v>-3.304</v>
      </c>
      <c r="U65" s="19">
        <f t="shared" si="20"/>
        <v>-2.5</v>
      </c>
      <c r="V65" s="19">
        <f t="shared" si="20"/>
        <v>-2.6447</v>
      </c>
      <c r="W65" s="19">
        <f t="shared" si="20"/>
        <v>-2.90779999999999</v>
      </c>
      <c r="X65" s="19">
        <f t="shared" si="20"/>
        <v>-2.6446</v>
      </c>
      <c r="Y65" s="19">
        <f t="shared" si="20"/>
        <v>-2.64749999999999</v>
      </c>
      <c r="Z65" s="19">
        <f t="shared" si="20"/>
        <v>-3.7874</v>
      </c>
      <c r="AA65" s="19">
        <f t="shared" si="20"/>
        <v>-1.238</v>
      </c>
    </row>
    <row r="66" s="1" customFormat="1" ht="20" hidden="1" customHeight="1" spans="1:27">
      <c r="A66" s="15">
        <v>45983</v>
      </c>
      <c r="B66" s="38">
        <v>4303121811816</v>
      </c>
      <c r="C66" s="17" t="s">
        <v>37</v>
      </c>
      <c r="D66" s="20">
        <v>88.21</v>
      </c>
      <c r="E66" s="20">
        <v>91.61</v>
      </c>
      <c r="F66" s="20">
        <v>91.88</v>
      </c>
      <c r="G66" s="20">
        <v>93.61</v>
      </c>
      <c r="H66" s="20">
        <v>93.28</v>
      </c>
      <c r="I66" s="20">
        <v>91.43</v>
      </c>
      <c r="J66" s="20">
        <v>88.16</v>
      </c>
      <c r="K66" s="20">
        <v>93.2</v>
      </c>
      <c r="L66" s="20">
        <v>93.87</v>
      </c>
      <c r="M66" s="20">
        <v>94.31</v>
      </c>
      <c r="N66" s="20">
        <v>96.55</v>
      </c>
      <c r="O66" s="20">
        <v>94.18</v>
      </c>
      <c r="P66" s="20">
        <v>92.11</v>
      </c>
      <c r="Q66" s="20">
        <v>96.65</v>
      </c>
      <c r="R66" s="20">
        <v>98.71</v>
      </c>
      <c r="S66" s="20">
        <v>98.56</v>
      </c>
      <c r="T66" s="20">
        <v>98.23</v>
      </c>
      <c r="U66" s="20">
        <v>97.33</v>
      </c>
      <c r="V66" s="20">
        <v>94.52</v>
      </c>
      <c r="W66" s="20">
        <v>88.46</v>
      </c>
      <c r="X66" s="20">
        <v>92.54</v>
      </c>
      <c r="Y66" s="20">
        <v>93.62</v>
      </c>
      <c r="Z66" s="20">
        <v>92.11</v>
      </c>
      <c r="AA66" s="20">
        <v>88.85</v>
      </c>
    </row>
    <row r="67" s="1" customFormat="1" ht="20" customHeight="1" spans="1:28">
      <c r="A67" s="39"/>
      <c r="B67" s="25"/>
      <c r="C67" s="40" t="s">
        <v>38</v>
      </c>
      <c r="D67" s="20">
        <v>90.0768</v>
      </c>
      <c r="E67" s="20">
        <v>95.1139</v>
      </c>
      <c r="F67" s="20">
        <v>94.4979</v>
      </c>
      <c r="G67" s="20">
        <v>94.6088</v>
      </c>
      <c r="H67" s="20">
        <v>94.4152</v>
      </c>
      <c r="I67" s="20">
        <v>92.6974</v>
      </c>
      <c r="J67" s="20">
        <v>91.879</v>
      </c>
      <c r="K67" s="20">
        <v>91.0958</v>
      </c>
      <c r="L67" s="20">
        <v>95.6367</v>
      </c>
      <c r="M67" s="20">
        <v>94.1618</v>
      </c>
      <c r="N67" s="20">
        <v>90.7931</v>
      </c>
      <c r="O67" s="20">
        <v>85.7138</v>
      </c>
      <c r="P67" s="20">
        <v>87.4262</v>
      </c>
      <c r="Q67" s="20">
        <v>91.9178</v>
      </c>
      <c r="R67" s="20">
        <v>94.2938</v>
      </c>
      <c r="S67" s="20">
        <v>97.7152</v>
      </c>
      <c r="T67" s="20">
        <v>97.8366</v>
      </c>
      <c r="U67" s="20">
        <v>97.5251</v>
      </c>
      <c r="V67" s="20">
        <v>95.649</v>
      </c>
      <c r="W67" s="20">
        <v>88.9821</v>
      </c>
      <c r="X67" s="20">
        <v>93.3645</v>
      </c>
      <c r="Y67" s="20">
        <v>93.463</v>
      </c>
      <c r="Z67" s="20">
        <v>91.5552</v>
      </c>
      <c r="AA67" s="20">
        <v>88.6758</v>
      </c>
      <c r="AB67" s="21">
        <f>MAX(E67:AA67)</f>
        <v>97.8366</v>
      </c>
    </row>
    <row r="68" s="1" customFormat="1" ht="20" hidden="1" customHeight="1" spans="1:27">
      <c r="A68" s="15"/>
      <c r="B68" s="41"/>
      <c r="C68" s="17" t="s">
        <v>39</v>
      </c>
      <c r="D68" s="20">
        <f t="shared" ref="D68:AA68" si="21">D66-D67</f>
        <v>-1.86680000000001</v>
      </c>
      <c r="E68" s="20">
        <f t="shared" si="21"/>
        <v>-3.5039</v>
      </c>
      <c r="F68" s="20">
        <f t="shared" si="21"/>
        <v>-2.61790000000001</v>
      </c>
      <c r="G68" s="20">
        <f t="shared" si="21"/>
        <v>-0.998800000000003</v>
      </c>
      <c r="H68" s="20">
        <f t="shared" si="21"/>
        <v>-1.1352</v>
      </c>
      <c r="I68" s="20">
        <f t="shared" si="21"/>
        <v>-1.26739999999999</v>
      </c>
      <c r="J68" s="20">
        <f t="shared" si="21"/>
        <v>-3.71900000000001</v>
      </c>
      <c r="K68" s="20">
        <f t="shared" si="21"/>
        <v>2.10420000000001</v>
      </c>
      <c r="L68" s="20">
        <f t="shared" si="21"/>
        <v>-1.7667</v>
      </c>
      <c r="M68" s="20">
        <f t="shared" si="21"/>
        <v>0.148200000000003</v>
      </c>
      <c r="N68" s="20">
        <f t="shared" si="21"/>
        <v>5.7569</v>
      </c>
      <c r="O68" s="20">
        <f t="shared" si="21"/>
        <v>8.4662</v>
      </c>
      <c r="P68" s="20">
        <f t="shared" si="21"/>
        <v>4.68380000000001</v>
      </c>
      <c r="Q68" s="20">
        <f t="shared" si="21"/>
        <v>4.73220000000001</v>
      </c>
      <c r="R68" s="20">
        <f t="shared" si="21"/>
        <v>4.41619999999999</v>
      </c>
      <c r="S68" s="20">
        <f t="shared" si="21"/>
        <v>0.844800000000006</v>
      </c>
      <c r="T68" s="20">
        <f t="shared" si="21"/>
        <v>0.3934</v>
      </c>
      <c r="U68" s="20">
        <f t="shared" si="21"/>
        <v>-0.195099999999996</v>
      </c>
      <c r="V68" s="20">
        <f t="shared" si="21"/>
        <v>-1.129</v>
      </c>
      <c r="W68" s="20">
        <f t="shared" si="21"/>
        <v>-0.522100000000009</v>
      </c>
      <c r="X68" s="20">
        <f t="shared" si="21"/>
        <v>-0.8245</v>
      </c>
      <c r="Y68" s="20">
        <f t="shared" si="21"/>
        <v>0.157000000000011</v>
      </c>
      <c r="Z68" s="20">
        <f t="shared" si="21"/>
        <v>0.5548</v>
      </c>
      <c r="AA68" s="20">
        <f t="shared" si="21"/>
        <v>0.174199999999999</v>
      </c>
    </row>
    <row r="69" s="1" customFormat="1" ht="20" hidden="1" customHeight="1" spans="1:27">
      <c r="A69" s="15">
        <v>45984</v>
      </c>
      <c r="B69" s="38">
        <v>4303121811816</v>
      </c>
      <c r="C69" s="17" t="s">
        <v>37</v>
      </c>
      <c r="D69" s="19">
        <v>87.43</v>
      </c>
      <c r="E69" s="19">
        <v>90.44</v>
      </c>
      <c r="F69" s="19">
        <v>90.55</v>
      </c>
      <c r="G69" s="19">
        <v>90.81</v>
      </c>
      <c r="H69" s="19">
        <v>89.66</v>
      </c>
      <c r="I69" s="19">
        <v>87.31</v>
      </c>
      <c r="J69" s="19">
        <v>83.28</v>
      </c>
      <c r="K69" s="19">
        <v>70.54</v>
      </c>
      <c r="L69" s="19">
        <v>71.64</v>
      </c>
      <c r="M69" s="19">
        <v>69.55</v>
      </c>
      <c r="N69" s="19">
        <v>68.43</v>
      </c>
      <c r="O69" s="19">
        <v>63.48</v>
      </c>
      <c r="P69" s="19">
        <v>62.55</v>
      </c>
      <c r="Q69" s="19">
        <v>66.57</v>
      </c>
      <c r="R69" s="19">
        <v>69.81</v>
      </c>
      <c r="S69" s="19">
        <v>71.61</v>
      </c>
      <c r="T69" s="19">
        <v>73.55</v>
      </c>
      <c r="U69" s="19">
        <v>73.61</v>
      </c>
      <c r="V69" s="19">
        <v>69.59</v>
      </c>
      <c r="W69" s="19">
        <v>70.21</v>
      </c>
      <c r="X69" s="19">
        <v>74.59</v>
      </c>
      <c r="Y69" s="19">
        <v>74.44</v>
      </c>
      <c r="Z69" s="19">
        <v>74.31</v>
      </c>
      <c r="AA69" s="19">
        <v>70.22</v>
      </c>
    </row>
    <row r="70" s="1" customFormat="1" ht="20" customHeight="1" spans="1:28">
      <c r="A70" s="39"/>
      <c r="B70" s="25"/>
      <c r="C70" s="40" t="s">
        <v>38</v>
      </c>
      <c r="D70" s="19">
        <v>88.3608</v>
      </c>
      <c r="E70" s="19">
        <v>91.1434</v>
      </c>
      <c r="F70" s="19">
        <v>91.541</v>
      </c>
      <c r="G70" s="19">
        <v>90.7914</v>
      </c>
      <c r="H70" s="19">
        <v>90.9797</v>
      </c>
      <c r="I70" s="19">
        <v>88.5931</v>
      </c>
      <c r="J70" s="19">
        <v>82.2466</v>
      </c>
      <c r="K70" s="19">
        <v>76.9666</v>
      </c>
      <c r="L70" s="19">
        <v>78.6104</v>
      </c>
      <c r="M70" s="19">
        <v>77.4242</v>
      </c>
      <c r="N70" s="19">
        <v>63.1154</v>
      </c>
      <c r="O70" s="19">
        <v>63.0661</v>
      </c>
      <c r="P70" s="19">
        <v>66.4521</v>
      </c>
      <c r="Q70" s="19">
        <v>71.9347</v>
      </c>
      <c r="R70" s="19">
        <v>72.5323</v>
      </c>
      <c r="S70" s="19">
        <v>73.9218</v>
      </c>
      <c r="T70" s="19">
        <v>77.5157</v>
      </c>
      <c r="U70" s="19">
        <v>76.9014</v>
      </c>
      <c r="V70" s="19">
        <v>74.1525</v>
      </c>
      <c r="W70" s="19">
        <v>73.2776</v>
      </c>
      <c r="X70" s="19">
        <v>78.0595</v>
      </c>
      <c r="Y70" s="19">
        <v>78.3235</v>
      </c>
      <c r="Z70" s="19">
        <v>77.1396</v>
      </c>
      <c r="AA70" s="19">
        <v>72.1133</v>
      </c>
      <c r="AB70" s="21">
        <f>MAX(E70:AA70)</f>
        <v>91.541</v>
      </c>
    </row>
    <row r="71" s="1" customFormat="1" ht="20" hidden="1" customHeight="1" spans="1:27">
      <c r="A71" s="15"/>
      <c r="B71" s="41"/>
      <c r="C71" s="17" t="s">
        <v>39</v>
      </c>
      <c r="D71" s="19">
        <f t="shared" ref="D71:AA71" si="22">D69-D70</f>
        <v>-0.930799999999991</v>
      </c>
      <c r="E71" s="19">
        <f t="shared" si="22"/>
        <v>-0.703400000000002</v>
      </c>
      <c r="F71" s="19">
        <f t="shared" si="22"/>
        <v>-0.991</v>
      </c>
      <c r="G71" s="19">
        <f t="shared" si="22"/>
        <v>0.0186000000000064</v>
      </c>
      <c r="H71" s="19">
        <f t="shared" si="22"/>
        <v>-1.3197</v>
      </c>
      <c r="I71" s="19">
        <f t="shared" si="22"/>
        <v>-1.2831</v>
      </c>
      <c r="J71" s="19">
        <f t="shared" si="22"/>
        <v>1.0334</v>
      </c>
      <c r="K71" s="19">
        <f t="shared" si="22"/>
        <v>-6.42659999999999</v>
      </c>
      <c r="L71" s="19">
        <f t="shared" si="22"/>
        <v>-6.9704</v>
      </c>
      <c r="M71" s="19">
        <f t="shared" si="22"/>
        <v>-7.8742</v>
      </c>
      <c r="N71" s="19">
        <f t="shared" si="22"/>
        <v>5.31460000000001</v>
      </c>
      <c r="O71" s="19">
        <f t="shared" si="22"/>
        <v>0.413899999999998</v>
      </c>
      <c r="P71" s="19">
        <f t="shared" si="22"/>
        <v>-3.9021</v>
      </c>
      <c r="Q71" s="19">
        <f t="shared" si="22"/>
        <v>-5.36470000000001</v>
      </c>
      <c r="R71" s="19">
        <f t="shared" si="22"/>
        <v>-2.7223</v>
      </c>
      <c r="S71" s="19">
        <f t="shared" si="22"/>
        <v>-2.31180000000001</v>
      </c>
      <c r="T71" s="19">
        <f t="shared" si="22"/>
        <v>-3.9657</v>
      </c>
      <c r="U71" s="19">
        <f t="shared" si="22"/>
        <v>-3.2914</v>
      </c>
      <c r="V71" s="19">
        <f t="shared" si="22"/>
        <v>-4.5625</v>
      </c>
      <c r="W71" s="19">
        <f t="shared" si="22"/>
        <v>-3.06760000000001</v>
      </c>
      <c r="X71" s="19">
        <f t="shared" si="22"/>
        <v>-3.4695</v>
      </c>
      <c r="Y71" s="19">
        <f t="shared" si="22"/>
        <v>-3.8835</v>
      </c>
      <c r="Z71" s="19">
        <f t="shared" si="22"/>
        <v>-2.8296</v>
      </c>
      <c r="AA71" s="19">
        <f t="shared" si="22"/>
        <v>-1.8933</v>
      </c>
    </row>
    <row r="72" s="1" customFormat="1" ht="20" hidden="1" customHeight="1" spans="1:27">
      <c r="A72" s="15">
        <v>45985</v>
      </c>
      <c r="B72" s="38">
        <v>4303121811816</v>
      </c>
      <c r="C72" s="17" t="s">
        <v>37</v>
      </c>
      <c r="D72" s="20">
        <v>74.21</v>
      </c>
      <c r="E72" s="20">
        <v>75.33</v>
      </c>
      <c r="F72" s="20">
        <v>73.33</v>
      </c>
      <c r="G72" s="20">
        <v>73.41</v>
      </c>
      <c r="H72" s="20">
        <v>74.71</v>
      </c>
      <c r="I72" s="20">
        <v>74.69</v>
      </c>
      <c r="J72" s="20">
        <v>74.58</v>
      </c>
      <c r="K72" s="20">
        <v>79.49</v>
      </c>
      <c r="L72" s="20">
        <v>92.55</v>
      </c>
      <c r="M72" s="20">
        <v>95.18</v>
      </c>
      <c r="N72" s="20">
        <v>97.35</v>
      </c>
      <c r="O72" s="20">
        <v>93.85</v>
      </c>
      <c r="P72" s="20">
        <v>91.5464</v>
      </c>
      <c r="Q72" s="20">
        <v>97.5286</v>
      </c>
      <c r="R72" s="20">
        <v>99.5702</v>
      </c>
      <c r="S72" s="20">
        <v>99.65</v>
      </c>
      <c r="T72" s="20">
        <v>99.61</v>
      </c>
      <c r="U72" s="20">
        <v>99.51</v>
      </c>
      <c r="V72" s="20">
        <v>95.35</v>
      </c>
      <c r="W72" s="20">
        <v>88.8606</v>
      </c>
      <c r="X72" s="20">
        <v>93.54</v>
      </c>
      <c r="Y72" s="20">
        <v>93.41</v>
      </c>
      <c r="Z72" s="20">
        <v>92.66</v>
      </c>
      <c r="AA72" s="20">
        <v>88.12</v>
      </c>
    </row>
    <row r="73" s="1" customFormat="1" ht="20" customHeight="1" spans="1:28">
      <c r="A73" s="39"/>
      <c r="B73" s="25"/>
      <c r="C73" s="40" t="s">
        <v>38</v>
      </c>
      <c r="D73" s="20">
        <v>75.8585</v>
      </c>
      <c r="E73" s="20">
        <v>77.6452</v>
      </c>
      <c r="F73" s="20">
        <v>78.9547</v>
      </c>
      <c r="G73" s="20">
        <v>80.5552</v>
      </c>
      <c r="H73" s="20">
        <v>80.4158</v>
      </c>
      <c r="I73" s="20">
        <v>80.4865</v>
      </c>
      <c r="J73" s="20">
        <v>81.0902</v>
      </c>
      <c r="K73" s="20">
        <v>86.2558</v>
      </c>
      <c r="L73" s="20">
        <v>98.0496</v>
      </c>
      <c r="M73" s="20">
        <v>96.6557</v>
      </c>
      <c r="N73" s="20">
        <v>96.059</v>
      </c>
      <c r="O73" s="20">
        <v>88.1091</v>
      </c>
      <c r="P73" s="20">
        <v>90.2035</v>
      </c>
      <c r="Q73" s="20">
        <v>90.0944</v>
      </c>
      <c r="R73" s="20">
        <v>92.5725</v>
      </c>
      <c r="S73" s="20">
        <v>96.8528</v>
      </c>
      <c r="T73" s="20">
        <v>99.0722</v>
      </c>
      <c r="U73" s="20">
        <v>98.3893</v>
      </c>
      <c r="V73" s="20">
        <v>92.6182</v>
      </c>
      <c r="W73" s="20">
        <v>89.9272</v>
      </c>
      <c r="X73" s="20">
        <v>95.9158</v>
      </c>
      <c r="Y73" s="20">
        <v>93.5847</v>
      </c>
      <c r="Z73" s="20">
        <v>93.2061</v>
      </c>
      <c r="AA73" s="20">
        <v>90.3355</v>
      </c>
      <c r="AB73" s="21">
        <f>MAX(E73:AA73)</f>
        <v>99.0722</v>
      </c>
    </row>
    <row r="74" s="1" customFormat="1" ht="14.25" hidden="1" spans="1:27">
      <c r="A74" s="15"/>
      <c r="B74" s="41"/>
      <c r="C74" s="17" t="s">
        <v>39</v>
      </c>
      <c r="D74" s="20">
        <f t="shared" ref="D74:AA74" si="23">D72-D73</f>
        <v>-1.64850000000001</v>
      </c>
      <c r="E74" s="20">
        <f t="shared" si="23"/>
        <v>-2.3152</v>
      </c>
      <c r="F74" s="20">
        <f t="shared" si="23"/>
        <v>-5.6247</v>
      </c>
      <c r="G74" s="20">
        <f t="shared" si="23"/>
        <v>-7.1452</v>
      </c>
      <c r="H74" s="20">
        <f t="shared" si="23"/>
        <v>-5.70580000000001</v>
      </c>
      <c r="I74" s="20">
        <f t="shared" si="23"/>
        <v>-5.79650000000001</v>
      </c>
      <c r="J74" s="20">
        <f t="shared" si="23"/>
        <v>-6.5102</v>
      </c>
      <c r="K74" s="20">
        <f t="shared" si="23"/>
        <v>-6.7658</v>
      </c>
      <c r="L74" s="20">
        <f t="shared" si="23"/>
        <v>-5.4996</v>
      </c>
      <c r="M74" s="20">
        <f t="shared" si="23"/>
        <v>-1.47569999999999</v>
      </c>
      <c r="N74" s="20">
        <f t="shared" si="23"/>
        <v>1.291</v>
      </c>
      <c r="O74" s="20">
        <f t="shared" si="23"/>
        <v>5.7409</v>
      </c>
      <c r="P74" s="20">
        <f t="shared" si="23"/>
        <v>1.3429</v>
      </c>
      <c r="Q74" s="20">
        <f t="shared" si="23"/>
        <v>7.4342</v>
      </c>
      <c r="R74" s="20">
        <f t="shared" si="23"/>
        <v>6.99769999999999</v>
      </c>
      <c r="S74" s="20">
        <f t="shared" si="23"/>
        <v>2.7972</v>
      </c>
      <c r="T74" s="20">
        <f t="shared" si="23"/>
        <v>0.537800000000004</v>
      </c>
      <c r="U74" s="20">
        <f t="shared" si="23"/>
        <v>1.1207</v>
      </c>
      <c r="V74" s="20">
        <f t="shared" si="23"/>
        <v>2.73179999999999</v>
      </c>
      <c r="W74" s="20">
        <f t="shared" si="23"/>
        <v>-1.06659999999999</v>
      </c>
      <c r="X74" s="20">
        <f t="shared" si="23"/>
        <v>-2.3758</v>
      </c>
      <c r="Y74" s="20">
        <f t="shared" si="23"/>
        <v>-0.174700000000001</v>
      </c>
      <c r="Z74" s="20">
        <f t="shared" si="23"/>
        <v>-0.54610000000001</v>
      </c>
      <c r="AA74" s="20">
        <f t="shared" si="23"/>
        <v>-2.21549999999999</v>
      </c>
    </row>
    <row r="75" s="1" customFormat="1" ht="14.25" hidden="1" spans="1:27">
      <c r="A75" s="15">
        <v>45986</v>
      </c>
      <c r="B75" s="38">
        <v>4303121811816</v>
      </c>
      <c r="C75" s="17" t="s">
        <v>37</v>
      </c>
      <c r="D75" s="19">
        <v>87.76</v>
      </c>
      <c r="E75" s="19">
        <v>91.33</v>
      </c>
      <c r="F75" s="19">
        <v>91.68</v>
      </c>
      <c r="G75" s="19">
        <v>92.35</v>
      </c>
      <c r="H75" s="19">
        <v>92.51</v>
      </c>
      <c r="I75" s="19">
        <v>90.11</v>
      </c>
      <c r="J75" s="19">
        <v>87.82</v>
      </c>
      <c r="K75" s="19">
        <v>97.66</v>
      </c>
      <c r="L75" s="19">
        <v>96.79</v>
      </c>
      <c r="M75" s="19">
        <v>96.54</v>
      </c>
      <c r="N75" s="19">
        <v>92.31</v>
      </c>
      <c r="O75" s="19">
        <v>89.55</v>
      </c>
      <c r="P75" s="19">
        <v>85.61</v>
      </c>
      <c r="Q75" s="19">
        <v>93.61</v>
      </c>
      <c r="R75" s="19">
        <v>97.66</v>
      </c>
      <c r="S75" s="19">
        <v>98.61</v>
      </c>
      <c r="T75" s="19">
        <v>99.51</v>
      </c>
      <c r="U75" s="19">
        <v>97.29</v>
      </c>
      <c r="V75" s="19">
        <v>93.84</v>
      </c>
      <c r="W75" s="19">
        <v>88.66</v>
      </c>
      <c r="X75" s="19">
        <v>93.94</v>
      </c>
      <c r="Y75" s="19">
        <v>93.54</v>
      </c>
      <c r="Z75" s="19">
        <v>89.68</v>
      </c>
      <c r="AA75" s="19">
        <v>88.61</v>
      </c>
    </row>
    <row r="76" s="1" customFormat="1" ht="20" customHeight="1" spans="1:28">
      <c r="A76" s="39"/>
      <c r="B76" s="25"/>
      <c r="C76" s="40" t="s">
        <v>38</v>
      </c>
      <c r="D76" s="19">
        <v>89.547</v>
      </c>
      <c r="E76" s="19">
        <v>92.3877</v>
      </c>
      <c r="F76" s="19">
        <v>93.9048</v>
      </c>
      <c r="G76" s="19">
        <v>94.1441</v>
      </c>
      <c r="H76" s="19">
        <v>94.4504</v>
      </c>
      <c r="I76" s="19">
        <v>91.4461</v>
      </c>
      <c r="J76" s="19">
        <v>90.728</v>
      </c>
      <c r="K76" s="19">
        <v>90.6453</v>
      </c>
      <c r="L76" s="19">
        <v>97.4494</v>
      </c>
      <c r="M76" s="19">
        <v>94.4346</v>
      </c>
      <c r="N76" s="19">
        <v>91.5904</v>
      </c>
      <c r="O76" s="19">
        <v>85.3107</v>
      </c>
      <c r="P76" s="19">
        <v>85.1506</v>
      </c>
      <c r="Q76" s="19">
        <v>90.7421</v>
      </c>
      <c r="R76" s="19">
        <v>93.2342</v>
      </c>
      <c r="S76" s="19">
        <v>98.8011</v>
      </c>
      <c r="T76" s="19">
        <v>100.663</v>
      </c>
      <c r="U76" s="19">
        <v>99.2411</v>
      </c>
      <c r="V76" s="19">
        <v>95.5574</v>
      </c>
      <c r="W76" s="19">
        <v>91.8931</v>
      </c>
      <c r="X76" s="19">
        <v>95.4078</v>
      </c>
      <c r="Y76" s="19">
        <v>97.5198</v>
      </c>
      <c r="Z76" s="19">
        <v>94.5402</v>
      </c>
      <c r="AA76" s="19">
        <v>90.9814</v>
      </c>
      <c r="AB76" s="21">
        <f>MAX(E76:AA76)</f>
        <v>100.663</v>
      </c>
    </row>
    <row r="77" s="1" customFormat="1" ht="20" hidden="1" customHeight="1" spans="1:27">
      <c r="A77" s="15"/>
      <c r="B77" s="41"/>
      <c r="C77" s="17" t="s">
        <v>39</v>
      </c>
      <c r="D77" s="19">
        <f t="shared" ref="D77:AA77" si="24">D75-D76</f>
        <v>-1.78699999999999</v>
      </c>
      <c r="E77" s="19">
        <f t="shared" si="24"/>
        <v>-1.0577</v>
      </c>
      <c r="F77" s="19">
        <f t="shared" si="24"/>
        <v>-2.22479999999999</v>
      </c>
      <c r="G77" s="19">
        <f t="shared" si="24"/>
        <v>-1.7941</v>
      </c>
      <c r="H77" s="19">
        <f t="shared" si="24"/>
        <v>-1.9404</v>
      </c>
      <c r="I77" s="19">
        <f t="shared" si="24"/>
        <v>-1.3361</v>
      </c>
      <c r="J77" s="19">
        <f t="shared" si="24"/>
        <v>-2.908</v>
      </c>
      <c r="K77" s="19">
        <f t="shared" si="24"/>
        <v>7.01469999999999</v>
      </c>
      <c r="L77" s="19">
        <f t="shared" si="24"/>
        <v>-0.659399999999991</v>
      </c>
      <c r="M77" s="19">
        <f t="shared" si="24"/>
        <v>2.1054</v>
      </c>
      <c r="N77" s="19">
        <f t="shared" si="24"/>
        <v>0.7196</v>
      </c>
      <c r="O77" s="19">
        <f t="shared" si="24"/>
        <v>4.2393</v>
      </c>
      <c r="P77" s="19">
        <f t="shared" si="24"/>
        <v>0.459400000000002</v>
      </c>
      <c r="Q77" s="19">
        <f t="shared" si="24"/>
        <v>2.86790000000001</v>
      </c>
      <c r="R77" s="19">
        <f t="shared" si="24"/>
        <v>4.4258</v>
      </c>
      <c r="S77" s="19">
        <f t="shared" si="24"/>
        <v>-0.191100000000006</v>
      </c>
      <c r="T77" s="19">
        <f t="shared" si="24"/>
        <v>-1.15299999999999</v>
      </c>
      <c r="U77" s="19">
        <f t="shared" si="24"/>
        <v>-1.9511</v>
      </c>
      <c r="V77" s="19">
        <f t="shared" si="24"/>
        <v>-1.7174</v>
      </c>
      <c r="W77" s="19">
        <f t="shared" si="24"/>
        <v>-3.23310000000001</v>
      </c>
      <c r="X77" s="19">
        <f t="shared" si="24"/>
        <v>-1.4678</v>
      </c>
      <c r="Y77" s="19">
        <f t="shared" si="24"/>
        <v>-3.9798</v>
      </c>
      <c r="Z77" s="19">
        <f t="shared" si="24"/>
        <v>-4.86019999999999</v>
      </c>
      <c r="AA77" s="19">
        <f t="shared" si="24"/>
        <v>-2.37139999999999</v>
      </c>
    </row>
    <row r="78" s="1" customFormat="1" ht="20" hidden="1" customHeight="1" spans="1:27">
      <c r="A78" s="15">
        <v>45987</v>
      </c>
      <c r="B78" s="38">
        <v>4303121811816</v>
      </c>
      <c r="C78" s="17" t="s">
        <v>37</v>
      </c>
      <c r="D78" s="20">
        <v>89.58</v>
      </c>
      <c r="E78" s="20">
        <v>92.44</v>
      </c>
      <c r="F78" s="20">
        <v>92.58</v>
      </c>
      <c r="G78" s="20">
        <v>93.11</v>
      </c>
      <c r="H78" s="20">
        <v>94.67</v>
      </c>
      <c r="I78" s="20">
        <v>92.31</v>
      </c>
      <c r="J78" s="20">
        <v>89.58</v>
      </c>
      <c r="K78" s="20">
        <v>89.41</v>
      </c>
      <c r="L78" s="20">
        <v>97.26</v>
      </c>
      <c r="M78" s="20">
        <v>93.59</v>
      </c>
      <c r="N78" s="20">
        <v>91.44</v>
      </c>
      <c r="O78" s="20">
        <v>90.25</v>
      </c>
      <c r="P78" s="20">
        <v>83.74</v>
      </c>
      <c r="Q78" s="20">
        <v>91.59</v>
      </c>
      <c r="R78" s="20">
        <v>95.22</v>
      </c>
      <c r="S78" s="20">
        <v>98.31</v>
      </c>
      <c r="T78" s="20">
        <v>99.48</v>
      </c>
      <c r="U78" s="20">
        <v>99.58</v>
      </c>
      <c r="V78" s="20">
        <v>95.45</v>
      </c>
      <c r="W78" s="20">
        <v>91.11</v>
      </c>
      <c r="X78" s="20">
        <v>94.96</v>
      </c>
      <c r="Y78" s="20">
        <v>96.11</v>
      </c>
      <c r="Z78" s="20">
        <v>95.48</v>
      </c>
      <c r="AA78" s="20">
        <v>90.85</v>
      </c>
    </row>
    <row r="79" s="1" customFormat="1" ht="20" customHeight="1" spans="1:28">
      <c r="A79" s="39"/>
      <c r="B79" s="25"/>
      <c r="C79" s="40" t="s">
        <v>38</v>
      </c>
      <c r="D79" s="20">
        <v>90.941</v>
      </c>
      <c r="E79" s="20">
        <v>93.7746</v>
      </c>
      <c r="F79" s="20">
        <v>95.7194</v>
      </c>
      <c r="G79" s="20">
        <v>94.2726</v>
      </c>
      <c r="H79" s="20">
        <v>93.6778</v>
      </c>
      <c r="I79" s="20">
        <v>93.5563</v>
      </c>
      <c r="J79" s="20">
        <v>89.2549</v>
      </c>
      <c r="K79" s="20">
        <v>90.4024</v>
      </c>
      <c r="L79" s="20">
        <v>95.9394</v>
      </c>
      <c r="M79" s="20">
        <v>95.4325</v>
      </c>
      <c r="N79" s="20">
        <v>92.2469</v>
      </c>
      <c r="O79" s="20">
        <v>86.1784</v>
      </c>
      <c r="P79" s="20">
        <v>83.1354</v>
      </c>
      <c r="Q79" s="20">
        <v>92.4158</v>
      </c>
      <c r="R79" s="20">
        <v>95.6736</v>
      </c>
      <c r="S79" s="20">
        <v>98.7501</v>
      </c>
      <c r="T79" s="20">
        <v>100.343</v>
      </c>
      <c r="U79" s="20">
        <v>99.051</v>
      </c>
      <c r="V79" s="20">
        <v>95.8761</v>
      </c>
      <c r="W79" s="20">
        <v>91.3053</v>
      </c>
      <c r="X79" s="20">
        <v>95.0488</v>
      </c>
      <c r="Y79" s="20">
        <v>95.7757</v>
      </c>
      <c r="Z79" s="20">
        <v>94.1741</v>
      </c>
      <c r="AA79" s="20">
        <v>89.6051</v>
      </c>
      <c r="AB79" s="21">
        <f>MAX(E79:AA79)</f>
        <v>100.343</v>
      </c>
    </row>
    <row r="80" s="1" customFormat="1" ht="20" hidden="1" customHeight="1" spans="1:27">
      <c r="A80" s="15"/>
      <c r="B80" s="41"/>
      <c r="C80" s="17" t="s">
        <v>39</v>
      </c>
      <c r="D80" s="20">
        <f t="shared" ref="D80:AA80" si="25">D78-D79</f>
        <v>-1.361</v>
      </c>
      <c r="E80" s="20">
        <f t="shared" si="25"/>
        <v>-1.33460000000001</v>
      </c>
      <c r="F80" s="20">
        <f t="shared" si="25"/>
        <v>-3.13939999999999</v>
      </c>
      <c r="G80" s="20">
        <f t="shared" si="25"/>
        <v>-1.1626</v>
      </c>
      <c r="H80" s="20">
        <f t="shared" si="25"/>
        <v>0.992199999999997</v>
      </c>
      <c r="I80" s="20">
        <f t="shared" si="25"/>
        <v>-1.24629999999999</v>
      </c>
      <c r="J80" s="20">
        <f t="shared" si="25"/>
        <v>0.325099999999992</v>
      </c>
      <c r="K80" s="20">
        <f t="shared" si="25"/>
        <v>-0.992400000000004</v>
      </c>
      <c r="L80" s="20">
        <f t="shared" si="25"/>
        <v>1.3206</v>
      </c>
      <c r="M80" s="20">
        <f t="shared" si="25"/>
        <v>-1.8425</v>
      </c>
      <c r="N80" s="20">
        <f t="shared" si="25"/>
        <v>-0.806899999999999</v>
      </c>
      <c r="O80" s="20">
        <f t="shared" si="25"/>
        <v>4.0716</v>
      </c>
      <c r="P80" s="20">
        <f t="shared" si="25"/>
        <v>0.604599999999991</v>
      </c>
      <c r="Q80" s="20">
        <f t="shared" si="25"/>
        <v>-0.825800000000001</v>
      </c>
      <c r="R80" s="20">
        <f t="shared" si="25"/>
        <v>-0.453599999999994</v>
      </c>
      <c r="S80" s="20">
        <f t="shared" si="25"/>
        <v>-0.440100000000001</v>
      </c>
      <c r="T80" s="20">
        <f t="shared" si="25"/>
        <v>-0.863</v>
      </c>
      <c r="U80" s="20">
        <f t="shared" si="25"/>
        <v>0.528999999999996</v>
      </c>
      <c r="V80" s="20">
        <f t="shared" si="25"/>
        <v>-0.426099999999991</v>
      </c>
      <c r="W80" s="20">
        <f t="shared" si="25"/>
        <v>-0.195300000000003</v>
      </c>
      <c r="X80" s="20">
        <f t="shared" si="25"/>
        <v>-0.0888000000000062</v>
      </c>
      <c r="Y80" s="20">
        <f t="shared" si="25"/>
        <v>0.334299999999999</v>
      </c>
      <c r="Z80" s="20">
        <f t="shared" si="25"/>
        <v>1.30590000000001</v>
      </c>
      <c r="AA80" s="20">
        <f t="shared" si="25"/>
        <v>1.2449</v>
      </c>
    </row>
    <row r="81" s="1" customFormat="1" ht="20" hidden="1" customHeight="1" spans="1:27">
      <c r="A81" s="15">
        <v>45988</v>
      </c>
      <c r="B81" s="38">
        <v>4303121811816</v>
      </c>
      <c r="C81" s="17" t="s">
        <v>37</v>
      </c>
      <c r="D81" s="19">
        <v>87.22</v>
      </c>
      <c r="E81" s="19">
        <v>91.89</v>
      </c>
      <c r="F81" s="19">
        <v>92.61</v>
      </c>
      <c r="G81" s="19">
        <v>92.55</v>
      </c>
      <c r="H81" s="19">
        <v>92.11</v>
      </c>
      <c r="I81" s="19">
        <v>89.61</v>
      </c>
      <c r="J81" s="19">
        <v>89.09</v>
      </c>
      <c r="K81" s="19">
        <v>88.19</v>
      </c>
      <c r="L81" s="19">
        <v>96.58</v>
      </c>
      <c r="M81" s="19">
        <v>93.22</v>
      </c>
      <c r="N81" s="19">
        <v>91.22</v>
      </c>
      <c r="O81" s="19">
        <v>82.76</v>
      </c>
      <c r="P81" s="19">
        <v>91.77</v>
      </c>
      <c r="Q81" s="19">
        <v>90.58</v>
      </c>
      <c r="R81" s="19">
        <v>89.74</v>
      </c>
      <c r="S81" s="19">
        <v>92.28</v>
      </c>
      <c r="T81" s="19">
        <v>98.41</v>
      </c>
      <c r="U81" s="19">
        <v>97.28</v>
      </c>
      <c r="V81" s="19">
        <v>93.22</v>
      </c>
      <c r="W81" s="19">
        <v>87.29</v>
      </c>
      <c r="X81" s="19">
        <v>90.15</v>
      </c>
      <c r="Y81" s="19">
        <v>91.58</v>
      </c>
      <c r="Z81" s="19">
        <v>88.91</v>
      </c>
      <c r="AA81" s="19">
        <v>86.92</v>
      </c>
    </row>
    <row r="82" s="1" customFormat="1" ht="20" customHeight="1" spans="1:28">
      <c r="A82" s="39"/>
      <c r="B82" s="25"/>
      <c r="C82" s="40" t="s">
        <v>38</v>
      </c>
      <c r="D82" s="19">
        <v>88.4858</v>
      </c>
      <c r="E82" s="19">
        <v>93.1181</v>
      </c>
      <c r="F82" s="19">
        <v>93.5578</v>
      </c>
      <c r="G82" s="19">
        <v>94.079</v>
      </c>
      <c r="H82" s="19">
        <v>94.6739</v>
      </c>
      <c r="I82" s="19">
        <v>93.7024</v>
      </c>
      <c r="J82" s="19">
        <v>90.9568</v>
      </c>
      <c r="K82" s="19">
        <v>90.0873</v>
      </c>
      <c r="L82" s="19">
        <v>98.5283</v>
      </c>
      <c r="M82" s="19">
        <v>94.2885</v>
      </c>
      <c r="N82" s="19">
        <v>91.8808</v>
      </c>
      <c r="O82" s="19">
        <v>85.4374</v>
      </c>
      <c r="P82" s="19">
        <v>83.2533</v>
      </c>
      <c r="Q82" s="19">
        <v>91.8509</v>
      </c>
      <c r="R82" s="19">
        <v>97.071</v>
      </c>
      <c r="S82" s="19">
        <v>97.8173</v>
      </c>
      <c r="T82" s="19">
        <v>99.917</v>
      </c>
      <c r="U82" s="19">
        <v>99.1795</v>
      </c>
      <c r="V82" s="19">
        <v>91.3945</v>
      </c>
      <c r="W82" s="19">
        <v>91.4038</v>
      </c>
      <c r="X82" s="19">
        <v>94.3765</v>
      </c>
      <c r="Y82" s="19">
        <v>94.9347</v>
      </c>
      <c r="Z82" s="19">
        <v>93.4787</v>
      </c>
      <c r="AA82" s="19">
        <v>90.6359</v>
      </c>
      <c r="AB82" s="21">
        <f>MAX(E82:AA82)</f>
        <v>99.917</v>
      </c>
    </row>
    <row r="83" s="1" customFormat="1" ht="20" hidden="1" customHeight="1" spans="1:27">
      <c r="A83" s="15"/>
      <c r="B83" s="41"/>
      <c r="C83" s="17" t="s">
        <v>39</v>
      </c>
      <c r="D83" s="19">
        <f t="shared" ref="D83:AA83" si="26">D81-D82</f>
        <v>-1.2658</v>
      </c>
      <c r="E83" s="19">
        <f t="shared" si="26"/>
        <v>-1.2281</v>
      </c>
      <c r="F83" s="19">
        <f t="shared" si="26"/>
        <v>-0.947800000000001</v>
      </c>
      <c r="G83" s="19">
        <f t="shared" si="26"/>
        <v>-1.529</v>
      </c>
      <c r="H83" s="19">
        <f t="shared" si="26"/>
        <v>-2.5639</v>
      </c>
      <c r="I83" s="19">
        <f t="shared" si="26"/>
        <v>-4.0924</v>
      </c>
      <c r="J83" s="19">
        <f t="shared" si="26"/>
        <v>-1.8668</v>
      </c>
      <c r="K83" s="19">
        <f t="shared" si="26"/>
        <v>-1.8973</v>
      </c>
      <c r="L83" s="19">
        <f t="shared" si="26"/>
        <v>-1.9483</v>
      </c>
      <c r="M83" s="19">
        <f t="shared" si="26"/>
        <v>-1.0685</v>
      </c>
      <c r="N83" s="19">
        <f t="shared" si="26"/>
        <v>-0.660799999999995</v>
      </c>
      <c r="O83" s="19">
        <f t="shared" si="26"/>
        <v>-2.67739999999999</v>
      </c>
      <c r="P83" s="19">
        <f t="shared" si="26"/>
        <v>8.5167</v>
      </c>
      <c r="Q83" s="19">
        <f t="shared" si="26"/>
        <v>-1.2709</v>
      </c>
      <c r="R83" s="19">
        <f t="shared" si="26"/>
        <v>-7.331</v>
      </c>
      <c r="S83" s="19">
        <f t="shared" si="26"/>
        <v>-5.5373</v>
      </c>
      <c r="T83" s="19">
        <f t="shared" si="26"/>
        <v>-1.50700000000001</v>
      </c>
      <c r="U83" s="19">
        <f t="shared" si="26"/>
        <v>-1.8995</v>
      </c>
      <c r="V83" s="19">
        <f t="shared" si="26"/>
        <v>1.82550000000001</v>
      </c>
      <c r="W83" s="19">
        <f t="shared" si="26"/>
        <v>-4.1138</v>
      </c>
      <c r="X83" s="19">
        <f t="shared" si="26"/>
        <v>-4.22649999999999</v>
      </c>
      <c r="Y83" s="19">
        <f t="shared" si="26"/>
        <v>-3.35470000000001</v>
      </c>
      <c r="Z83" s="19">
        <f t="shared" si="26"/>
        <v>-4.56870000000001</v>
      </c>
      <c r="AA83" s="19">
        <f t="shared" si="26"/>
        <v>-3.7159</v>
      </c>
    </row>
    <row r="84" s="1" customFormat="1" ht="14.25" hidden="1" spans="1:27">
      <c r="A84" s="15">
        <v>45989</v>
      </c>
      <c r="B84" s="38">
        <v>4303121811816</v>
      </c>
      <c r="C84" s="17" t="s">
        <v>37</v>
      </c>
      <c r="D84" s="20">
        <v>87.31</v>
      </c>
      <c r="E84" s="20">
        <v>91.77</v>
      </c>
      <c r="F84" s="20">
        <v>92.55</v>
      </c>
      <c r="G84" s="20">
        <v>92.41</v>
      </c>
      <c r="H84" s="20">
        <v>92.28</v>
      </c>
      <c r="I84" s="20">
        <v>89.55</v>
      </c>
      <c r="J84" s="20">
        <v>89.09</v>
      </c>
      <c r="K84" s="20">
        <v>88.2</v>
      </c>
      <c r="L84" s="20">
        <v>96.48</v>
      </c>
      <c r="M84" s="20">
        <v>93.33</v>
      </c>
      <c r="N84" s="20">
        <v>91.35</v>
      </c>
      <c r="O84" s="20">
        <v>82.59</v>
      </c>
      <c r="P84" s="20">
        <v>91.69</v>
      </c>
      <c r="Q84" s="20">
        <v>90.67</v>
      </c>
      <c r="R84" s="20">
        <v>89.61</v>
      </c>
      <c r="S84" s="20">
        <v>92.33</v>
      </c>
      <c r="T84" s="20">
        <v>98.48</v>
      </c>
      <c r="U84" s="20">
        <v>97.36</v>
      </c>
      <c r="V84" s="20">
        <v>93.41</v>
      </c>
      <c r="W84" s="20">
        <v>87.32</v>
      </c>
      <c r="X84" s="20">
        <v>90.31</v>
      </c>
      <c r="Y84" s="20">
        <v>91.59</v>
      </c>
      <c r="Z84" s="20">
        <v>88.71</v>
      </c>
      <c r="AA84" s="20">
        <v>86.89</v>
      </c>
    </row>
    <row r="85" s="1" customFormat="1" ht="14.25" spans="1:28">
      <c r="A85" s="39"/>
      <c r="B85" s="25"/>
      <c r="C85" s="40" t="s">
        <v>38</v>
      </c>
      <c r="D85" s="20">
        <v>90.0504</v>
      </c>
      <c r="E85" s="20">
        <v>93.5387</v>
      </c>
      <c r="F85" s="20">
        <v>93.7742</v>
      </c>
      <c r="G85" s="20">
        <v>94.6546</v>
      </c>
      <c r="H85" s="20">
        <v>95.3779</v>
      </c>
      <c r="I85" s="20">
        <v>93.1497</v>
      </c>
      <c r="J85" s="20">
        <v>90.9145</v>
      </c>
      <c r="K85" s="20">
        <v>92.7291</v>
      </c>
      <c r="L85" s="20">
        <v>98.3822</v>
      </c>
      <c r="M85" s="20">
        <v>94.8429</v>
      </c>
      <c r="N85" s="20">
        <v>90.9462</v>
      </c>
      <c r="O85" s="20">
        <v>85.499</v>
      </c>
      <c r="P85" s="20">
        <v>84.2582</v>
      </c>
      <c r="Q85" s="20">
        <v>90.7984</v>
      </c>
      <c r="R85" s="20">
        <v>94.607</v>
      </c>
      <c r="S85" s="20">
        <v>98.8426</v>
      </c>
      <c r="T85" s="20">
        <v>100.475</v>
      </c>
      <c r="U85" s="20">
        <v>100.489</v>
      </c>
      <c r="V85" s="20">
        <v>96.6416</v>
      </c>
      <c r="W85" s="20">
        <v>92.231</v>
      </c>
      <c r="X85" s="20">
        <v>94.9837</v>
      </c>
      <c r="Y85" s="20">
        <v>95.7357</v>
      </c>
      <c r="Z85" s="20">
        <v>93.2214</v>
      </c>
      <c r="AA85" s="20">
        <v>88.5145</v>
      </c>
      <c r="AB85" s="21">
        <f>MAX(E85:AA85)</f>
        <v>100.489</v>
      </c>
    </row>
    <row r="86" s="1" customFormat="1" ht="20" hidden="1" customHeight="1" spans="1:27">
      <c r="A86" s="15"/>
      <c r="B86" s="41"/>
      <c r="C86" s="17" t="s">
        <v>39</v>
      </c>
      <c r="D86" s="20">
        <f t="shared" ref="D86:AA86" si="27">D84-D85</f>
        <v>-2.74039999999999</v>
      </c>
      <c r="E86" s="20">
        <f t="shared" si="27"/>
        <v>-1.76870000000001</v>
      </c>
      <c r="F86" s="20">
        <f t="shared" si="27"/>
        <v>-1.2242</v>
      </c>
      <c r="G86" s="20">
        <f t="shared" si="27"/>
        <v>-2.24460000000001</v>
      </c>
      <c r="H86" s="20">
        <f t="shared" si="27"/>
        <v>-3.0979</v>
      </c>
      <c r="I86" s="20">
        <f t="shared" si="27"/>
        <v>-3.5997</v>
      </c>
      <c r="J86" s="20">
        <f t="shared" si="27"/>
        <v>-1.8245</v>
      </c>
      <c r="K86" s="20">
        <f t="shared" si="27"/>
        <v>-4.5291</v>
      </c>
      <c r="L86" s="20">
        <f t="shared" si="27"/>
        <v>-1.90219999999999</v>
      </c>
      <c r="M86" s="20">
        <f t="shared" si="27"/>
        <v>-1.5129</v>
      </c>
      <c r="N86" s="20">
        <f t="shared" si="27"/>
        <v>0.40379999999999</v>
      </c>
      <c r="O86" s="20">
        <f t="shared" si="27"/>
        <v>-2.90899999999999</v>
      </c>
      <c r="P86" s="20">
        <f t="shared" si="27"/>
        <v>7.4318</v>
      </c>
      <c r="Q86" s="20">
        <f t="shared" si="27"/>
        <v>-0.128399999999999</v>
      </c>
      <c r="R86" s="20">
        <f t="shared" si="27"/>
        <v>-4.997</v>
      </c>
      <c r="S86" s="20">
        <f t="shared" si="27"/>
        <v>-6.51260000000001</v>
      </c>
      <c r="T86" s="20">
        <f t="shared" si="27"/>
        <v>-1.99499999999999</v>
      </c>
      <c r="U86" s="20">
        <f t="shared" si="27"/>
        <v>-3.129</v>
      </c>
      <c r="V86" s="20">
        <f t="shared" si="27"/>
        <v>-3.2316</v>
      </c>
      <c r="W86" s="20">
        <f t="shared" si="27"/>
        <v>-4.911</v>
      </c>
      <c r="X86" s="20">
        <f t="shared" si="27"/>
        <v>-4.6737</v>
      </c>
      <c r="Y86" s="20">
        <f t="shared" si="27"/>
        <v>-4.14569999999999</v>
      </c>
      <c r="Z86" s="20">
        <f t="shared" si="27"/>
        <v>-4.51140000000001</v>
      </c>
      <c r="AA86" s="20">
        <f t="shared" si="27"/>
        <v>-1.6245</v>
      </c>
    </row>
    <row r="87" s="1" customFormat="1" ht="20" hidden="1" customHeight="1" spans="1:27">
      <c r="A87" s="15">
        <v>45990</v>
      </c>
      <c r="B87" s="38">
        <v>4303121811816</v>
      </c>
      <c r="C87" s="17" t="s">
        <v>37</v>
      </c>
      <c r="D87" s="19">
        <v>87.22</v>
      </c>
      <c r="E87" s="19">
        <v>91.85</v>
      </c>
      <c r="F87" s="19">
        <v>92.44</v>
      </c>
      <c r="G87" s="19">
        <v>92.32</v>
      </c>
      <c r="H87" s="19">
        <v>92.18</v>
      </c>
      <c r="I87" s="19">
        <v>89.62</v>
      </c>
      <c r="J87" s="19">
        <v>89.11</v>
      </c>
      <c r="K87" s="19">
        <v>88.18</v>
      </c>
      <c r="L87" s="19">
        <v>96.34</v>
      </c>
      <c r="M87" s="19">
        <v>93.22</v>
      </c>
      <c r="N87" s="19">
        <v>91.22</v>
      </c>
      <c r="O87" s="19">
        <v>82.18</v>
      </c>
      <c r="P87" s="19">
        <v>91.58</v>
      </c>
      <c r="Q87" s="19">
        <v>90.76</v>
      </c>
      <c r="R87" s="19">
        <v>90.11</v>
      </c>
      <c r="S87" s="19">
        <v>92.28</v>
      </c>
      <c r="T87" s="19">
        <v>98.52</v>
      </c>
      <c r="U87" s="19">
        <v>97.11</v>
      </c>
      <c r="V87" s="19">
        <v>93.22</v>
      </c>
      <c r="W87" s="19">
        <v>87.54</v>
      </c>
      <c r="X87" s="19">
        <v>90.33</v>
      </c>
      <c r="Y87" s="19">
        <v>91.66</v>
      </c>
      <c r="Z87" s="19">
        <v>88.58</v>
      </c>
      <c r="AA87" s="19">
        <v>86.77</v>
      </c>
    </row>
    <row r="88" s="1" customFormat="1" ht="20" customHeight="1" spans="1:28">
      <c r="A88" s="39"/>
      <c r="B88" s="25"/>
      <c r="C88" s="40" t="s">
        <v>38</v>
      </c>
      <c r="D88" s="19">
        <v>89.8093</v>
      </c>
      <c r="E88" s="19">
        <v>92.5848</v>
      </c>
      <c r="F88" s="19">
        <v>92.7481</v>
      </c>
      <c r="G88" s="19">
        <v>93.977</v>
      </c>
      <c r="H88" s="19">
        <v>94.5877</v>
      </c>
      <c r="I88" s="19">
        <v>92.011</v>
      </c>
      <c r="J88" s="19">
        <v>88.8378</v>
      </c>
      <c r="K88" s="19">
        <v>88.1971</v>
      </c>
      <c r="L88" s="19">
        <v>93.771</v>
      </c>
      <c r="M88" s="19">
        <v>89.9765</v>
      </c>
      <c r="N88" s="19">
        <v>86.3826</v>
      </c>
      <c r="O88" s="19">
        <v>80.2261</v>
      </c>
      <c r="P88" s="19">
        <v>78.489</v>
      </c>
      <c r="Q88" s="19">
        <v>85.1734</v>
      </c>
      <c r="R88" s="19">
        <v>89.5963</v>
      </c>
      <c r="S88" s="19">
        <v>94.2515</v>
      </c>
      <c r="T88" s="19">
        <v>94.8869</v>
      </c>
      <c r="U88" s="19">
        <v>94.3483</v>
      </c>
      <c r="V88" s="19">
        <v>86.0939</v>
      </c>
      <c r="W88" s="19">
        <v>85.7032</v>
      </c>
      <c r="X88" s="19">
        <v>90.0512</v>
      </c>
      <c r="Y88" s="19">
        <v>89.3886</v>
      </c>
      <c r="Z88" s="19">
        <v>89.3042</v>
      </c>
      <c r="AA88" s="19">
        <v>85.7261</v>
      </c>
      <c r="AB88" s="21">
        <f>MAX(E88:AA88)</f>
        <v>94.8869</v>
      </c>
    </row>
    <row r="89" s="1" customFormat="1" ht="20" hidden="1" customHeight="1" spans="1:27">
      <c r="A89" s="15"/>
      <c r="B89" s="41"/>
      <c r="C89" s="17" t="s">
        <v>39</v>
      </c>
      <c r="D89" s="19">
        <f t="shared" ref="D89:AA89" si="28">D87-D88</f>
        <v>-2.58929999999999</v>
      </c>
      <c r="E89" s="19">
        <f t="shared" si="28"/>
        <v>-0.734800000000007</v>
      </c>
      <c r="F89" s="19">
        <f t="shared" si="28"/>
        <v>-0.308099999999996</v>
      </c>
      <c r="G89" s="19">
        <f t="shared" si="28"/>
        <v>-1.65700000000001</v>
      </c>
      <c r="H89" s="19">
        <f t="shared" si="28"/>
        <v>-2.40769999999999</v>
      </c>
      <c r="I89" s="19">
        <f t="shared" si="28"/>
        <v>-2.39099999999999</v>
      </c>
      <c r="J89" s="19">
        <f t="shared" si="28"/>
        <v>0.272199999999998</v>
      </c>
      <c r="K89" s="19">
        <f t="shared" si="28"/>
        <v>-0.0170999999999992</v>
      </c>
      <c r="L89" s="19">
        <f t="shared" si="28"/>
        <v>2.569</v>
      </c>
      <c r="M89" s="19">
        <f t="shared" si="28"/>
        <v>3.2435</v>
      </c>
      <c r="N89" s="19">
        <f t="shared" si="28"/>
        <v>4.8374</v>
      </c>
      <c r="O89" s="19">
        <f t="shared" si="28"/>
        <v>1.9539</v>
      </c>
      <c r="P89" s="19">
        <f t="shared" si="28"/>
        <v>13.091</v>
      </c>
      <c r="Q89" s="19">
        <f t="shared" si="28"/>
        <v>5.5866</v>
      </c>
      <c r="R89" s="19">
        <f t="shared" si="28"/>
        <v>0.5137</v>
      </c>
      <c r="S89" s="19">
        <f t="shared" si="28"/>
        <v>-1.97149999999999</v>
      </c>
      <c r="T89" s="19">
        <f t="shared" si="28"/>
        <v>3.6331</v>
      </c>
      <c r="U89" s="19">
        <f t="shared" si="28"/>
        <v>2.7617</v>
      </c>
      <c r="V89" s="19">
        <f t="shared" si="28"/>
        <v>7.12609999999999</v>
      </c>
      <c r="W89" s="19">
        <f t="shared" si="28"/>
        <v>1.83680000000001</v>
      </c>
      <c r="X89" s="19">
        <f t="shared" si="28"/>
        <v>0.278800000000004</v>
      </c>
      <c r="Y89" s="19">
        <f t="shared" si="28"/>
        <v>2.2714</v>
      </c>
      <c r="Z89" s="19">
        <f t="shared" si="28"/>
        <v>-0.724199999999996</v>
      </c>
      <c r="AA89" s="19">
        <f t="shared" si="28"/>
        <v>1.04389999999999</v>
      </c>
    </row>
    <row r="90" s="1" customFormat="1" ht="20" hidden="1" customHeight="1" spans="1:27">
      <c r="A90" s="15">
        <v>45991</v>
      </c>
      <c r="B90" s="38">
        <v>4303121811816</v>
      </c>
      <c r="C90" s="17" t="s">
        <v>37</v>
      </c>
      <c r="D90" s="20">
        <v>88.18</v>
      </c>
      <c r="E90" s="20">
        <v>91.28</v>
      </c>
      <c r="F90" s="20">
        <v>90.58</v>
      </c>
      <c r="G90" s="20">
        <v>90.65</v>
      </c>
      <c r="H90" s="20">
        <v>90.77</v>
      </c>
      <c r="I90" s="20">
        <v>80.44</v>
      </c>
      <c r="J90" s="20">
        <v>70.54</v>
      </c>
      <c r="K90" s="20">
        <v>60.32</v>
      </c>
      <c r="L90" s="20">
        <v>55.65</v>
      </c>
      <c r="M90" s="20">
        <v>55.23</v>
      </c>
      <c r="N90" s="20">
        <v>52.25</v>
      </c>
      <c r="O90" s="20">
        <v>51.31</v>
      </c>
      <c r="P90" s="20">
        <v>51.31</v>
      </c>
      <c r="Q90" s="20">
        <v>55.68</v>
      </c>
      <c r="R90" s="20">
        <v>55.79</v>
      </c>
      <c r="S90" s="20">
        <v>55.56</v>
      </c>
      <c r="T90" s="20">
        <v>56.22</v>
      </c>
      <c r="U90" s="20">
        <v>55.33</v>
      </c>
      <c r="V90" s="20">
        <v>53.25</v>
      </c>
      <c r="W90" s="20">
        <v>55.66</v>
      </c>
      <c r="X90" s="20">
        <v>65.25</v>
      </c>
      <c r="Y90" s="20">
        <v>67.28</v>
      </c>
      <c r="Z90" s="20">
        <v>64.31</v>
      </c>
      <c r="AA90" s="20">
        <v>63.45</v>
      </c>
    </row>
    <row r="91" s="1" customFormat="1" ht="20" customHeight="1" spans="1:28">
      <c r="A91" s="39"/>
      <c r="B91" s="25"/>
      <c r="C91" s="40" t="s">
        <v>38</v>
      </c>
      <c r="D91" s="20">
        <v>84.3075</v>
      </c>
      <c r="E91" s="20">
        <v>87.0038</v>
      </c>
      <c r="F91" s="20">
        <v>87.1229</v>
      </c>
      <c r="G91" s="20">
        <v>87.8029</v>
      </c>
      <c r="H91" s="20">
        <v>84.5733</v>
      </c>
      <c r="I91" s="20">
        <v>81.5338</v>
      </c>
      <c r="J91" s="20">
        <v>75.6413</v>
      </c>
      <c r="K91" s="20">
        <v>67.7559</v>
      </c>
      <c r="L91" s="20">
        <v>62.8091</v>
      </c>
      <c r="M91" s="20">
        <v>59.6746</v>
      </c>
      <c r="N91" s="20">
        <v>57.5784</v>
      </c>
      <c r="O91" s="20">
        <v>54.7451</v>
      </c>
      <c r="P91" s="20">
        <v>56.1254</v>
      </c>
      <c r="Q91" s="20">
        <v>57.0954</v>
      </c>
      <c r="R91" s="20">
        <v>61.5745</v>
      </c>
      <c r="S91" s="20">
        <v>62.2178</v>
      </c>
      <c r="T91" s="20">
        <v>66.6917</v>
      </c>
      <c r="U91" s="20">
        <v>66.3626</v>
      </c>
      <c r="V91" s="20">
        <v>66.2045</v>
      </c>
      <c r="W91" s="20">
        <v>65.1125</v>
      </c>
      <c r="X91" s="20">
        <v>67.8541</v>
      </c>
      <c r="Y91" s="20">
        <v>71.0954</v>
      </c>
      <c r="Z91" s="20">
        <v>69.7548</v>
      </c>
      <c r="AA91" s="20">
        <v>67.1287</v>
      </c>
      <c r="AB91" s="21">
        <f>MAX(E91:AA91)</f>
        <v>87.8029</v>
      </c>
    </row>
    <row r="92" s="1" customFormat="1" ht="20" hidden="1" customHeight="1" spans="1:27">
      <c r="A92" s="15"/>
      <c r="B92" s="41"/>
      <c r="C92" s="17" t="s">
        <v>39</v>
      </c>
      <c r="D92" s="20">
        <f t="shared" ref="D92:AA92" si="29">D90-D91</f>
        <v>3.8725</v>
      </c>
      <c r="E92" s="20">
        <f t="shared" si="29"/>
        <v>4.2762</v>
      </c>
      <c r="F92" s="20">
        <f t="shared" si="29"/>
        <v>3.4571</v>
      </c>
      <c r="G92" s="20">
        <f t="shared" si="29"/>
        <v>2.84710000000001</v>
      </c>
      <c r="H92" s="20">
        <f t="shared" si="29"/>
        <v>6.19669999999999</v>
      </c>
      <c r="I92" s="20">
        <f t="shared" si="29"/>
        <v>-1.0938</v>
      </c>
      <c r="J92" s="20">
        <f t="shared" si="29"/>
        <v>-5.10129999999999</v>
      </c>
      <c r="K92" s="20">
        <f t="shared" si="29"/>
        <v>-7.4359</v>
      </c>
      <c r="L92" s="20">
        <f t="shared" si="29"/>
        <v>-7.1591</v>
      </c>
      <c r="M92" s="20">
        <f t="shared" si="29"/>
        <v>-4.4446</v>
      </c>
      <c r="N92" s="20">
        <f t="shared" si="29"/>
        <v>-5.3284</v>
      </c>
      <c r="O92" s="20">
        <f t="shared" si="29"/>
        <v>-3.4351</v>
      </c>
      <c r="P92" s="20">
        <f t="shared" si="29"/>
        <v>-4.8154</v>
      </c>
      <c r="Q92" s="20">
        <f t="shared" si="29"/>
        <v>-1.4154</v>
      </c>
      <c r="R92" s="20">
        <f t="shared" si="29"/>
        <v>-5.7845</v>
      </c>
      <c r="S92" s="20">
        <f t="shared" si="29"/>
        <v>-6.65779999999999</v>
      </c>
      <c r="T92" s="20">
        <f t="shared" si="29"/>
        <v>-10.4717</v>
      </c>
      <c r="U92" s="20">
        <f t="shared" si="29"/>
        <v>-11.0326</v>
      </c>
      <c r="V92" s="20">
        <f t="shared" si="29"/>
        <v>-12.9545</v>
      </c>
      <c r="W92" s="20">
        <f t="shared" si="29"/>
        <v>-9.4525</v>
      </c>
      <c r="X92" s="20">
        <f t="shared" si="29"/>
        <v>-2.6041</v>
      </c>
      <c r="Y92" s="20">
        <f t="shared" si="29"/>
        <v>-3.8154</v>
      </c>
      <c r="Z92" s="20">
        <f t="shared" si="29"/>
        <v>-5.4448</v>
      </c>
      <c r="AA92" s="20">
        <f t="shared" si="29"/>
        <v>-3.67869999999999</v>
      </c>
    </row>
    <row r="93" s="1" customFormat="1" ht="20" customHeight="1" spans="1:28">
      <c r="A93" s="26"/>
      <c r="B93" s="28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1"/>
    </row>
    <row r="94" s="1" customFormat="1" ht="14.25" spans="1:28">
      <c r="A94" s="26"/>
      <c r="B94" s="26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1"/>
    </row>
    <row r="95" s="1" customFormat="1" ht="14.25" spans="1:28">
      <c r="A95" s="26"/>
      <c r="B95" s="26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1"/>
    </row>
    <row r="96" s="1" customFormat="1" ht="20" customHeight="1" spans="1:28">
      <c r="A96" s="26"/>
      <c r="B96" s="26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1"/>
    </row>
    <row r="97" s="1" customFormat="1" ht="20" customHeight="1" spans="1:28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1"/>
    </row>
    <row r="98" s="1" customFormat="1" ht="20" customHeight="1" spans="1:28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1"/>
    </row>
    <row r="99" s="1" customFormat="1" ht="20" customHeight="1" spans="1:28">
      <c r="A99" s="26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1"/>
    </row>
    <row r="100" s="1" customFormat="1" ht="20" customHeight="1" spans="1:28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1"/>
    </row>
    <row r="101" s="1" customFormat="1" ht="20" customHeight="1" spans="1:28">
      <c r="A101" s="26"/>
      <c r="B101" s="26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1"/>
    </row>
    <row r="102" s="1" customFormat="1" ht="20" customHeight="1" spans="1:28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1"/>
    </row>
    <row r="103" s="1" customFormat="1" ht="20" customHeight="1" spans="1:28">
      <c r="A103" s="26"/>
      <c r="B103" s="28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1"/>
    </row>
    <row r="104" s="1" customFormat="1" ht="14.25" spans="1:28">
      <c r="A104" s="26"/>
      <c r="B104" s="26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1"/>
    </row>
    <row r="105" s="1" customFormat="1" ht="14.25" spans="1:28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1"/>
    </row>
    <row r="106" s="1" customFormat="1" ht="20" customHeight="1" spans="1:28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1"/>
    </row>
    <row r="107" s="1" customFormat="1" ht="20" customHeight="1" spans="1:28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1"/>
    </row>
    <row r="108" s="1" customFormat="1" ht="20" customHeight="1" spans="1:28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1"/>
    </row>
    <row r="109" s="1" customFormat="1" ht="20" customHeight="1" spans="1:28">
      <c r="A109" s="26"/>
      <c r="B109" s="26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1"/>
    </row>
    <row r="110" s="1" customFormat="1" ht="20" customHeight="1" spans="1:28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1"/>
    </row>
    <row r="111" s="1" customFormat="1" ht="20" customHeight="1" spans="1:28">
      <c r="A111" s="26"/>
      <c r="B111" s="26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1"/>
    </row>
    <row r="112" s="1" customFormat="1" ht="20" customHeight="1" spans="1:28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1"/>
    </row>
    <row r="113" s="1" customFormat="1" ht="20" customHeight="1" spans="1:28">
      <c r="A113" s="26"/>
      <c r="B113" s="28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1"/>
    </row>
    <row r="114" s="1" customFormat="1" ht="14.25" spans="1:28">
      <c r="A114" s="26"/>
      <c r="B114" s="26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1"/>
    </row>
    <row r="115" s="1" customFormat="1" ht="14.25" spans="1:28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1"/>
    </row>
    <row r="116" s="1" customFormat="1" ht="20" customHeight="1" spans="1:28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1"/>
    </row>
    <row r="117" s="1" customFormat="1" ht="20" customHeight="1" spans="1:28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1"/>
    </row>
    <row r="118" s="1" customFormat="1" ht="20" customHeight="1" spans="1:28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1"/>
    </row>
    <row r="119" s="1" customFormat="1" ht="20" customHeight="1" spans="1:28">
      <c r="A119" s="26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1"/>
    </row>
    <row r="120" s="1" customFormat="1" ht="20" customHeight="1" spans="1:28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1"/>
    </row>
    <row r="121" s="1" customFormat="1" ht="20" customHeight="1" spans="1:28">
      <c r="A121" s="26"/>
      <c r="B121" s="26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1"/>
    </row>
    <row r="122" s="1" customFormat="1" ht="20" customHeight="1" spans="1:28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1"/>
    </row>
    <row r="123" s="1" customFormat="1" ht="20" customHeight="1" spans="1:28">
      <c r="A123" s="26"/>
      <c r="B123" s="28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1"/>
    </row>
    <row r="124" s="1" customFormat="1" ht="14.25" spans="1:28">
      <c r="A124" s="26"/>
      <c r="B124" s="26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1"/>
    </row>
    <row r="125" s="1" customFormat="1" ht="14.25" spans="1:28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1"/>
    </row>
    <row r="126" s="1" customFormat="1" ht="20" customHeight="1" spans="1:28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1"/>
    </row>
    <row r="127" s="1" customFormat="1" ht="20" customHeight="1" spans="1:28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1"/>
    </row>
    <row r="128" s="1" customFormat="1" ht="20" customHeight="1" spans="1:28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1"/>
    </row>
    <row r="129" s="1" customFormat="1" ht="20" customHeight="1" spans="1:28">
      <c r="A129" s="26"/>
      <c r="B129" s="26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1"/>
    </row>
    <row r="130" s="1" customFormat="1" ht="20" customHeight="1" spans="1:28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1"/>
    </row>
    <row r="131" s="1" customFormat="1" ht="20" customHeight="1" spans="1:28">
      <c r="A131" s="26"/>
      <c r="B131" s="26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1"/>
    </row>
    <row r="132" s="1" customFormat="1" ht="20" customHeight="1" spans="1:28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1"/>
    </row>
    <row r="133" s="1" customFormat="1" ht="20" customHeight="1" spans="1:28">
      <c r="A133" s="26"/>
      <c r="B133" s="28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1"/>
    </row>
    <row r="134" s="1" customFormat="1" ht="14.25" spans="1:28">
      <c r="A134" s="26"/>
      <c r="B134" s="26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1"/>
    </row>
    <row r="135" s="1" customFormat="1" ht="14.25" spans="1:28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1"/>
    </row>
    <row r="136" s="1" customFormat="1" ht="20" customHeight="1" spans="1:28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1"/>
    </row>
    <row r="137" s="1" customFormat="1" ht="20" customHeight="1" spans="1:28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1"/>
    </row>
    <row r="138" s="1" customFormat="1" ht="20" customHeight="1" spans="1:28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1"/>
    </row>
    <row r="139" s="1" customFormat="1" ht="20" customHeight="1" spans="1:28">
      <c r="A139" s="26"/>
      <c r="B139" s="26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1"/>
    </row>
    <row r="140" s="1" customFormat="1" ht="20" customHeight="1" spans="1:28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1"/>
    </row>
    <row r="141" s="1" customFormat="1" ht="20" customHeight="1" spans="1:28">
      <c r="A141" s="26"/>
      <c r="B141" s="26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1"/>
    </row>
    <row r="142" s="1" customFormat="1" ht="20" customHeight="1" spans="1:28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1"/>
    </row>
    <row r="143" s="1" customFormat="1" ht="20" customHeight="1" spans="1:28">
      <c r="A143" s="26"/>
      <c r="B143" s="28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1"/>
    </row>
    <row r="144" s="1" customFormat="1" ht="14.25" spans="1:28">
      <c r="A144" s="26"/>
      <c r="B144" s="26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1"/>
    </row>
    <row r="145" s="1" customFormat="1" ht="14.25" spans="1:28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1"/>
    </row>
    <row r="146" s="1" customFormat="1" ht="20" customHeight="1" spans="1:28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1"/>
    </row>
    <row r="147" s="1" customFormat="1" ht="20" customHeight="1" spans="1:28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1"/>
    </row>
    <row r="148" s="1" customFormat="1" ht="20" customHeight="1" spans="1:28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1"/>
    </row>
    <row r="149" s="1" customFormat="1" ht="20" customHeight="1" spans="1:28">
      <c r="A149" s="26"/>
      <c r="B149" s="26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1"/>
    </row>
    <row r="150" s="1" customFormat="1" ht="20" customHeight="1" spans="1:28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1"/>
    </row>
    <row r="151" s="1" customFormat="1" ht="20" customHeight="1" spans="1:28">
      <c r="A151" s="26"/>
      <c r="B151" s="26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1"/>
    </row>
    <row r="152" s="1" customFormat="1" ht="20" customHeight="1" spans="1:28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1"/>
    </row>
    <row r="153" s="1" customFormat="1" ht="20" customHeight="1" spans="1:28">
      <c r="A153" s="26"/>
      <c r="B153" s="28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1"/>
    </row>
    <row r="154" s="1" customFormat="1" ht="14.25" spans="1:28">
      <c r="A154" s="26"/>
      <c r="B154" s="26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1"/>
    </row>
    <row r="155" s="1" customFormat="1" ht="14.25" spans="1:28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1"/>
    </row>
    <row r="156" s="1" customFormat="1" ht="20" customHeight="1" spans="1:28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1"/>
    </row>
    <row r="157" s="1" customFormat="1" ht="20" customHeight="1" spans="1:28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1"/>
    </row>
    <row r="158" s="1" customFormat="1" ht="20" customHeight="1" spans="1:28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1"/>
    </row>
    <row r="159" s="1" customFormat="1" ht="20" customHeight="1" spans="1:28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1"/>
    </row>
    <row r="160" s="1" customFormat="1" ht="20" customHeight="1" spans="1:28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1"/>
    </row>
    <row r="161" s="1" customFormat="1" ht="20" customHeight="1" spans="1:28">
      <c r="A161" s="26"/>
      <c r="B161" s="26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1"/>
    </row>
    <row r="162" s="1" customFormat="1" ht="20" customHeight="1" spans="1:28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1"/>
    </row>
    <row r="163" s="1" customFormat="1" ht="20" customHeight="1" spans="1:28">
      <c r="A163" s="26"/>
      <c r="B163" s="28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1"/>
    </row>
    <row r="164" s="1" customFormat="1" ht="14.25" spans="1:28">
      <c r="A164" s="26"/>
      <c r="B164" s="26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1"/>
    </row>
    <row r="165" s="1" customFormat="1" ht="14.25" spans="1:28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1"/>
    </row>
    <row r="166" s="1" customFormat="1" ht="20" customHeight="1" spans="1:28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1"/>
    </row>
    <row r="167" s="1" customFormat="1" ht="20" customHeight="1" spans="1:28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1"/>
    </row>
    <row r="168" s="1" customFormat="1" ht="20" customHeight="1" spans="1:28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1"/>
    </row>
    <row r="169" s="1" customFormat="1" ht="20" customHeight="1" spans="1:28">
      <c r="A169" s="26"/>
      <c r="B169" s="26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1"/>
    </row>
    <row r="170" s="1" customFormat="1" ht="20" customHeight="1" spans="1:28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1"/>
    </row>
    <row r="171" s="1" customFormat="1" ht="20" customHeight="1" spans="1:28">
      <c r="A171" s="26"/>
      <c r="B171" s="26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1"/>
    </row>
    <row r="172" s="1" customFormat="1" ht="20" customHeight="1" spans="1:28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1"/>
    </row>
    <row r="173" s="1" customFormat="1" ht="20" customHeight="1" spans="1:28">
      <c r="A173" s="26"/>
      <c r="B173" s="28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1"/>
    </row>
    <row r="174" s="1" customFormat="1" ht="14.25" spans="1:28">
      <c r="A174" s="26"/>
      <c r="B174" s="26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1"/>
    </row>
    <row r="175" s="1" customFormat="1" ht="14.25" spans="1:28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1"/>
    </row>
    <row r="176" s="1" customFormat="1" ht="20" customHeight="1" spans="1:28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1"/>
    </row>
    <row r="177" s="1" customFormat="1" ht="20" customHeight="1" spans="1:28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1"/>
    </row>
    <row r="178" s="1" customFormat="1" ht="20" customHeight="1" spans="1:28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1"/>
    </row>
    <row r="179" s="1" customFormat="1" ht="20" customHeight="1" spans="1:28">
      <c r="A179" s="26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1"/>
    </row>
    <row r="180" s="1" customFormat="1" ht="20" customHeight="1" spans="1:28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1"/>
    </row>
    <row r="181" s="1" customFormat="1" ht="20" customHeight="1" spans="1:28">
      <c r="A181" s="26"/>
      <c r="B181" s="26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1"/>
    </row>
    <row r="182" s="1" customFormat="1" ht="20" customHeight="1" spans="1:28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1"/>
    </row>
    <row r="183" s="1" customFormat="1" ht="20" customHeight="1" spans="1:28">
      <c r="A183" s="26"/>
      <c r="B183" s="28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1"/>
    </row>
    <row r="184" s="1" customFormat="1" ht="14.25" spans="1:28">
      <c r="A184" s="26"/>
      <c r="B184" s="26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1"/>
    </row>
    <row r="185" s="1" customFormat="1" ht="14.25" spans="1:28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1"/>
    </row>
    <row r="186" s="1" customFormat="1" ht="20" customHeight="1" spans="1:28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1"/>
    </row>
    <row r="187" s="1" customFormat="1" ht="20" customHeight="1" spans="1:28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1"/>
    </row>
    <row r="188" s="1" customFormat="1" ht="20" customHeight="1" spans="1:28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1"/>
    </row>
    <row r="189" s="1" customFormat="1" ht="20" customHeight="1" spans="1:28">
      <c r="A189" s="26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1"/>
    </row>
    <row r="190" s="1" customFormat="1" ht="20" customHeight="1" spans="1:28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1"/>
    </row>
    <row r="191" s="1" customFormat="1" ht="20" customHeight="1" spans="1:28">
      <c r="A191" s="26"/>
      <c r="B191" s="26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1"/>
    </row>
    <row r="192" s="1" customFormat="1" ht="20" customHeight="1" spans="1:28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1"/>
    </row>
    <row r="193" s="1" customFormat="1" ht="20" customHeight="1" spans="1:28">
      <c r="A193" s="26"/>
      <c r="B193" s="28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1"/>
    </row>
    <row r="194" s="1" customFormat="1" ht="14.25" spans="1:28">
      <c r="A194" s="26"/>
      <c r="B194" s="26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1"/>
    </row>
    <row r="195" s="1" customFormat="1" ht="14.25" spans="1:28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1"/>
    </row>
    <row r="196" s="1" customFormat="1" ht="20" customHeight="1" spans="1:28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1"/>
    </row>
    <row r="197" s="1" customFormat="1" ht="20" customHeight="1" spans="1:28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1"/>
    </row>
    <row r="198" s="1" customFormat="1" ht="20" customHeight="1" spans="1:28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1"/>
    </row>
    <row r="199" s="1" customFormat="1" ht="20" customHeight="1" spans="1:28">
      <c r="A199" s="26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1"/>
    </row>
    <row r="200" s="1" customFormat="1" ht="20" customHeight="1" spans="1:28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1"/>
    </row>
    <row r="201" s="1" customFormat="1" ht="20" customHeight="1" spans="1:28">
      <c r="A201" s="26"/>
      <c r="B201" s="26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1"/>
    </row>
    <row r="202" s="1" customFormat="1" ht="20" customHeight="1" spans="1:28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1"/>
    </row>
    <row r="203" s="1" customFormat="1" ht="20" customHeight="1" spans="1:28">
      <c r="A203" s="26"/>
      <c r="B203" s="28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1"/>
    </row>
    <row r="204" s="1" customFormat="1" ht="14.25" spans="1:28">
      <c r="A204" s="26"/>
      <c r="B204" s="26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1"/>
    </row>
    <row r="205" s="1" customFormat="1" ht="14.25" spans="1:28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1"/>
    </row>
    <row r="206" s="1" customFormat="1" ht="20" customHeight="1" spans="1:28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1"/>
    </row>
    <row r="207" s="1" customFormat="1" ht="20" customHeight="1" spans="1:28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1"/>
    </row>
    <row r="208" s="1" customFormat="1" ht="20" customHeight="1" spans="1:28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1"/>
    </row>
    <row r="209" s="1" customFormat="1" ht="20" customHeight="1" spans="1:28">
      <c r="A209" s="26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1"/>
    </row>
    <row r="210" s="1" customFormat="1" ht="20" customHeight="1" spans="1:28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1"/>
    </row>
    <row r="211" s="1" customFormat="1" ht="20" customHeight="1" spans="1:28">
      <c r="A211" s="26"/>
      <c r="B211" s="26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1"/>
    </row>
    <row r="212" s="1" customFormat="1" ht="20" customHeight="1" spans="1:28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1"/>
    </row>
    <row r="213" s="1" customFormat="1" ht="20" customHeight="1" spans="1:28">
      <c r="A213" s="26"/>
      <c r="B213" s="28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1"/>
    </row>
    <row r="214" s="1" customFormat="1" ht="14.25" spans="1:28">
      <c r="A214" s="26"/>
      <c r="B214" s="26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1"/>
    </row>
    <row r="215" s="1" customFormat="1" ht="14.25" spans="1:28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1"/>
    </row>
    <row r="216" s="1" customFormat="1" ht="20" customHeight="1" spans="1:28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1"/>
    </row>
    <row r="217" s="1" customFormat="1" ht="20" customHeight="1" spans="1:28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1"/>
    </row>
    <row r="218" s="1" customFormat="1" ht="20" customHeight="1" spans="1:28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1"/>
    </row>
    <row r="219" s="1" customFormat="1" ht="20" customHeight="1" spans="1:28">
      <c r="A219" s="26"/>
      <c r="B219" s="26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1"/>
    </row>
    <row r="220" s="1" customFormat="1" ht="20" customHeight="1" spans="1:28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1"/>
    </row>
    <row r="221" s="1" customFormat="1" ht="20" customHeight="1" spans="1:28">
      <c r="A221" s="26"/>
      <c r="B221" s="26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1"/>
    </row>
    <row r="222" s="1" customFormat="1" ht="20" customHeight="1" spans="1:28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1"/>
    </row>
    <row r="223" s="1" customFormat="1" ht="20" customHeight="1" spans="1:28">
      <c r="A223" s="26"/>
      <c r="B223" s="28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1"/>
    </row>
    <row r="224" s="1" customFormat="1" ht="14.25" spans="1:28">
      <c r="A224" s="26"/>
      <c r="B224" s="26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1"/>
    </row>
    <row r="225" s="1" customFormat="1" ht="14.25" spans="1:28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1"/>
    </row>
    <row r="226" s="1" customFormat="1" ht="20" customHeight="1" spans="1:28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1"/>
    </row>
    <row r="227" s="1" customFormat="1" ht="20" customHeight="1" spans="1:28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1"/>
    </row>
    <row r="228" s="1" customFormat="1" ht="20" customHeight="1" spans="1:28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1"/>
    </row>
    <row r="229" s="1" customFormat="1" ht="20" customHeight="1" spans="1:28">
      <c r="A229" s="26"/>
      <c r="B229" s="26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1"/>
    </row>
    <row r="230" s="1" customFormat="1" ht="20" customHeight="1" spans="1:28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1"/>
    </row>
    <row r="231" s="1" customFormat="1" ht="20" customHeight="1" spans="1:28">
      <c r="A231" s="26"/>
      <c r="B231" s="26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1"/>
    </row>
    <row r="232" s="1" customFormat="1" ht="20" customHeight="1" spans="1:28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1"/>
    </row>
    <row r="233" s="1" customFormat="1" ht="20" customHeight="1" spans="1:28">
      <c r="A233" s="26"/>
      <c r="B233" s="28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1"/>
    </row>
    <row r="234" s="1" customFormat="1" ht="14.25" spans="1:28">
      <c r="A234" s="26"/>
      <c r="B234" s="26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1"/>
    </row>
    <row r="235" s="1" customFormat="1" ht="14.25" spans="1:28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1"/>
    </row>
    <row r="236" s="1" customFormat="1" ht="20" customHeight="1" spans="1:28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1"/>
    </row>
    <row r="237" s="1" customFormat="1" ht="20" customHeight="1" spans="1:28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1"/>
    </row>
    <row r="238" s="1" customFormat="1" ht="20" customHeight="1" spans="1:28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1"/>
    </row>
    <row r="239" s="1" customFormat="1" ht="20" customHeight="1" spans="1:28">
      <c r="A239" s="26"/>
      <c r="B239" s="26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1"/>
    </row>
    <row r="240" s="1" customFormat="1" ht="20" customHeight="1" spans="1:28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1"/>
    </row>
    <row r="241" s="1" customFormat="1" ht="20" customHeight="1" spans="1:28">
      <c r="A241" s="26"/>
      <c r="B241" s="26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1"/>
    </row>
    <row r="242" s="1" customFormat="1" ht="20" customHeight="1" spans="1:28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1"/>
    </row>
    <row r="243" s="1" customFormat="1" ht="20" customHeight="1" spans="1:28">
      <c r="A243" s="26"/>
      <c r="B243" s="28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1"/>
    </row>
    <row r="244" s="1" customFormat="1" ht="14.25" spans="1:28">
      <c r="A244" s="26"/>
      <c r="B244" s="26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1"/>
    </row>
    <row r="245" s="1" customFormat="1" ht="14.25" spans="1:28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1"/>
    </row>
    <row r="246" s="1" customFormat="1" ht="20" customHeight="1" spans="1:28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1"/>
    </row>
    <row r="247" s="1" customFormat="1" ht="20" customHeight="1" spans="1:28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1"/>
    </row>
    <row r="248" s="1" customFormat="1" ht="20" customHeight="1" spans="1:28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1"/>
    </row>
    <row r="249" s="1" customFormat="1" ht="20" customHeight="1" spans="1:28">
      <c r="A249" s="26"/>
      <c r="B249" s="26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1"/>
    </row>
    <row r="250" s="1" customFormat="1" ht="20" customHeight="1" spans="1:28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1"/>
    </row>
    <row r="251" s="1" customFormat="1" ht="20" customHeight="1" spans="1:28">
      <c r="A251" s="26"/>
      <c r="B251" s="26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1"/>
    </row>
    <row r="252" s="1" customFormat="1" ht="20" customHeight="1" spans="1:28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1"/>
    </row>
    <row r="253" s="1" customFormat="1" ht="20" customHeight="1" spans="1:28">
      <c r="A253" s="26"/>
      <c r="B253" s="28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1"/>
    </row>
    <row r="254" s="1" customFormat="1" ht="14.25" spans="1:28">
      <c r="A254" s="26"/>
      <c r="B254" s="26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1"/>
    </row>
    <row r="255" s="1" customFormat="1" ht="14.25" spans="1:28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1"/>
    </row>
    <row r="256" s="1" customFormat="1" ht="20" customHeight="1" spans="1:28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1"/>
    </row>
    <row r="257" s="1" customFormat="1" ht="20" customHeight="1" spans="1:28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1"/>
    </row>
    <row r="258" s="1" customFormat="1" ht="20" customHeight="1" spans="1:28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1"/>
    </row>
    <row r="259" s="1" customFormat="1" ht="20" customHeight="1" spans="1:28">
      <c r="A259" s="26"/>
      <c r="B259" s="26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1"/>
    </row>
    <row r="260" s="1" customFormat="1" ht="20" customHeight="1" spans="1:28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1"/>
    </row>
    <row r="261" s="1" customFormat="1" ht="20" customHeight="1" spans="1:28">
      <c r="A261" s="26"/>
      <c r="B261" s="26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1"/>
    </row>
    <row r="262" s="1" customFormat="1" ht="20" customHeight="1" spans="1:28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1"/>
    </row>
    <row r="263" s="1" customFormat="1" ht="20" customHeight="1" spans="1:28">
      <c r="A263" s="26"/>
      <c r="B263" s="28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1"/>
    </row>
    <row r="264" s="1" customFormat="1" ht="14.25" spans="1:28">
      <c r="A264" s="26"/>
      <c r="B264" s="26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1"/>
    </row>
    <row r="265" s="1" customFormat="1" ht="14.25" spans="1:28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1"/>
    </row>
    <row r="266" s="1" customFormat="1" ht="20" customHeight="1" spans="1:28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1"/>
    </row>
    <row r="267" s="1" customFormat="1" ht="20" customHeight="1" spans="1:28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1"/>
    </row>
    <row r="268" s="1" customFormat="1" ht="20" customHeight="1" spans="1:28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1"/>
    </row>
    <row r="269" s="1" customFormat="1" ht="20" customHeight="1" spans="1:28">
      <c r="A269" s="26"/>
      <c r="B269" s="26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1"/>
    </row>
    <row r="270" s="1" customFormat="1" ht="20" customHeight="1" spans="1:28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1"/>
    </row>
    <row r="271" s="1" customFormat="1" ht="20" customHeight="1" spans="1:28">
      <c r="A271" s="26"/>
      <c r="B271" s="26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1"/>
    </row>
    <row r="272" s="1" customFormat="1" ht="20" customHeight="1" spans="1:28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1"/>
    </row>
    <row r="273" s="1" customFormat="1" ht="20" customHeight="1" spans="1:28">
      <c r="A273" s="26"/>
      <c r="B273" s="28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1"/>
    </row>
    <row r="274" s="1" customFormat="1" ht="14.25" spans="1:28">
      <c r="A274" s="26"/>
      <c r="B274" s="26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1"/>
    </row>
    <row r="275" s="1" customFormat="1" ht="14.25" spans="1:28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1"/>
    </row>
    <row r="276" s="1" customFormat="1" ht="20" customHeight="1" spans="1:28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1"/>
    </row>
    <row r="277" s="1" customFormat="1" ht="20" customHeight="1" spans="1:28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1"/>
    </row>
    <row r="278" s="1" customFormat="1" ht="20" customHeight="1" spans="1:28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1"/>
    </row>
    <row r="279" s="1" customFormat="1" ht="20" customHeight="1" spans="1:28">
      <c r="A279" s="26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1"/>
    </row>
    <row r="280" s="1" customFormat="1" ht="20" customHeight="1" spans="1:28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1"/>
    </row>
    <row r="281" s="1" customFormat="1" ht="20" customHeight="1" spans="1:28">
      <c r="A281" s="26"/>
      <c r="B281" s="26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1"/>
    </row>
    <row r="282" s="1" customFormat="1" ht="20" customHeight="1" spans="1:28">
      <c r="A282" s="26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1"/>
    </row>
    <row r="283" s="1" customFormat="1" ht="20" customHeight="1" spans="1:28">
      <c r="A283" s="26"/>
      <c r="B283" s="28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1"/>
    </row>
    <row r="284" s="1" customFormat="1" ht="14.25" spans="1:28">
      <c r="A284" s="26"/>
      <c r="B284" s="26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1"/>
    </row>
    <row r="285" s="1" customFormat="1" ht="14.25" spans="1:28">
      <c r="A285" s="26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1"/>
    </row>
    <row r="286" s="1" customFormat="1" ht="20" customHeight="1" spans="1:28">
      <c r="A286" s="26"/>
      <c r="B286" s="26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1"/>
    </row>
    <row r="287" s="1" customFormat="1" ht="20" customHeight="1" spans="1:28">
      <c r="A287" s="26"/>
      <c r="B287" s="26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1"/>
    </row>
    <row r="288" s="1" customFormat="1" ht="20" customHeight="1" spans="1:28">
      <c r="A288" s="26"/>
      <c r="B288" s="26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1"/>
    </row>
    <row r="289" s="1" customFormat="1" ht="20" customHeight="1" spans="1:28">
      <c r="A289" s="26"/>
      <c r="B289" s="26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1"/>
    </row>
    <row r="290" s="1" customFormat="1" ht="20" customHeight="1" spans="1:28">
      <c r="A290" s="26"/>
      <c r="B290" s="26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1"/>
    </row>
    <row r="291" s="1" customFormat="1" ht="20" customHeight="1" spans="1:28">
      <c r="A291" s="26"/>
      <c r="B291" s="26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1"/>
    </row>
    <row r="292" s="1" customFormat="1" ht="20" customHeight="1" spans="1:28">
      <c r="A292" s="26"/>
      <c r="B292" s="26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1"/>
    </row>
    <row r="293" s="1" customFormat="1" ht="20" customHeight="1" spans="1:28">
      <c r="A293" s="26"/>
      <c r="B293" s="28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1"/>
    </row>
    <row r="294" s="1" customFormat="1" ht="14.25" spans="1:28">
      <c r="A294" s="26"/>
      <c r="B294" s="26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1"/>
    </row>
    <row r="295" s="1" customFormat="1" ht="14.25" spans="1:28">
      <c r="A295" s="26"/>
      <c r="B295" s="26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1"/>
    </row>
  </sheetData>
  <autoFilter ref="A2:AB92">
    <filterColumn colId="2">
      <customFilters>
        <customFilter operator="equal" val="实际"/>
      </customFilters>
    </filterColumn>
  </autoFilter>
  <mergeCells count="61">
    <mergeCell ref="A1:AB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</mergeCells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AB296"/>
  <sheetViews>
    <sheetView workbookViewId="0">
      <pane xSplit="3" ySplit="3" topLeftCell="E5" activePane="bottomRight" state="frozen"/>
      <selection/>
      <selection pane="topRight"/>
      <selection pane="bottomLeft"/>
      <selection pane="bottomRight" activeCell="A1" sqref="A1:AB1"/>
    </sheetView>
  </sheetViews>
  <sheetFormatPr defaultColWidth="9" defaultRowHeight="13.5"/>
  <cols>
    <col min="1" max="1" width="12.375" style="3" customWidth="1"/>
    <col min="2" max="2" width="16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9" style="6"/>
    <col min="29" max="16384" width="9" style="4"/>
  </cols>
  <sheetData>
    <row r="1" ht="49" customHeight="1" spans="1:28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8.75" spans="1:2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="1" customFormat="1" ht="14.25" spans="1:28">
      <c r="A3" s="10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  <c r="AB3" s="21"/>
    </row>
    <row r="4" s="1" customFormat="1" ht="20" hidden="1" customHeight="1" spans="1:27">
      <c r="A4" s="15">
        <v>45992</v>
      </c>
      <c r="B4" s="16">
        <v>4303121811816</v>
      </c>
      <c r="C4" s="17" t="s">
        <v>37</v>
      </c>
      <c r="D4" s="19">
        <v>63.58</v>
      </c>
      <c r="E4" s="19">
        <v>65.38</v>
      </c>
      <c r="F4" s="19">
        <v>67.28</v>
      </c>
      <c r="G4" s="19">
        <v>67.55</v>
      </c>
      <c r="H4" s="19">
        <v>67.23</v>
      </c>
      <c r="I4" s="19">
        <v>67.11</v>
      </c>
      <c r="J4" s="19">
        <v>66.98</v>
      </c>
      <c r="K4" s="19">
        <v>67.31</v>
      </c>
      <c r="L4" s="19">
        <v>86.11</v>
      </c>
      <c r="M4" s="19">
        <v>92.58</v>
      </c>
      <c r="N4" s="19">
        <v>88.69</v>
      </c>
      <c r="O4" s="19">
        <v>85.11</v>
      </c>
      <c r="P4" s="19">
        <v>96.77</v>
      </c>
      <c r="Q4" s="19">
        <v>96.54</v>
      </c>
      <c r="R4" s="19">
        <v>96.28</v>
      </c>
      <c r="S4" s="19">
        <v>95.88</v>
      </c>
      <c r="T4" s="19">
        <v>95.33</v>
      </c>
      <c r="U4" s="19">
        <v>94.32</v>
      </c>
      <c r="V4" s="19">
        <v>88.63</v>
      </c>
      <c r="W4" s="19">
        <v>87.11</v>
      </c>
      <c r="X4" s="19">
        <v>89.42</v>
      </c>
      <c r="Y4" s="19">
        <v>90.11</v>
      </c>
      <c r="Z4" s="19">
        <v>88.61</v>
      </c>
      <c r="AA4" s="19">
        <v>87.26</v>
      </c>
    </row>
    <row r="5" s="1" customFormat="1" ht="14.25" spans="1:28">
      <c r="A5" s="15"/>
      <c r="B5" s="16"/>
      <c r="C5" s="17" t="s">
        <v>38</v>
      </c>
      <c r="D5" s="19">
        <v>68.5872</v>
      </c>
      <c r="E5" s="19">
        <v>70.8574</v>
      </c>
      <c r="F5" s="19">
        <v>71.1257</v>
      </c>
      <c r="G5" s="19">
        <v>70.6658</v>
      </c>
      <c r="H5" s="19">
        <v>73.1947</v>
      </c>
      <c r="I5" s="19">
        <v>74.1758</v>
      </c>
      <c r="J5" s="19">
        <v>74.6528</v>
      </c>
      <c r="K5" s="19">
        <v>84.7968</v>
      </c>
      <c r="L5" s="19">
        <v>93.6038</v>
      </c>
      <c r="M5" s="19">
        <v>92.275</v>
      </c>
      <c r="N5" s="19">
        <v>88.5509</v>
      </c>
      <c r="O5" s="19">
        <v>83.8429</v>
      </c>
      <c r="P5" s="19">
        <v>83.0034</v>
      </c>
      <c r="Q5" s="19">
        <v>91.8526</v>
      </c>
      <c r="R5" s="19">
        <v>96.3811</v>
      </c>
      <c r="S5" s="19">
        <v>97.0957</v>
      </c>
      <c r="T5" s="19">
        <v>98.8275</v>
      </c>
      <c r="U5" s="19">
        <v>98.4914</v>
      </c>
      <c r="V5" s="19">
        <v>92.7291</v>
      </c>
      <c r="W5" s="19">
        <v>89.3323</v>
      </c>
      <c r="X5" s="19">
        <v>94.2322</v>
      </c>
      <c r="Y5" s="19">
        <v>94.0585</v>
      </c>
      <c r="Z5" s="19">
        <v>92.1625</v>
      </c>
      <c r="AA5" s="19">
        <v>85.7014</v>
      </c>
      <c r="AB5" s="21">
        <f>MAX(K5:AA5)</f>
        <v>98.8275</v>
      </c>
    </row>
    <row r="6" s="1" customFormat="1" ht="14.25" hidden="1" spans="1:27">
      <c r="A6" s="15"/>
      <c r="B6" s="16"/>
      <c r="C6" s="17" t="s">
        <v>39</v>
      </c>
      <c r="D6" s="19">
        <f>D4-D5</f>
        <v>-5.0072</v>
      </c>
      <c r="E6" s="19">
        <f t="shared" ref="D6:AA6" si="0">E4-E5</f>
        <v>-5.4774</v>
      </c>
      <c r="F6" s="19">
        <f t="shared" si="0"/>
        <v>-3.84569999999999</v>
      </c>
      <c r="G6" s="19">
        <f t="shared" si="0"/>
        <v>-3.11580000000001</v>
      </c>
      <c r="H6" s="19">
        <f t="shared" si="0"/>
        <v>-5.96469999999999</v>
      </c>
      <c r="I6" s="19">
        <f t="shared" si="0"/>
        <v>-7.0658</v>
      </c>
      <c r="J6" s="19">
        <f t="shared" si="0"/>
        <v>-7.6728</v>
      </c>
      <c r="K6" s="19">
        <f t="shared" si="0"/>
        <v>-17.4868</v>
      </c>
      <c r="L6" s="19">
        <f t="shared" si="0"/>
        <v>-7.49380000000001</v>
      </c>
      <c r="M6" s="19">
        <f t="shared" si="0"/>
        <v>0.304999999999993</v>
      </c>
      <c r="N6" s="19">
        <f t="shared" si="0"/>
        <v>0.139099999999999</v>
      </c>
      <c r="O6" s="19">
        <f t="shared" si="0"/>
        <v>1.2671</v>
      </c>
      <c r="P6" s="19">
        <f t="shared" si="0"/>
        <v>13.7666</v>
      </c>
      <c r="Q6" s="19">
        <f t="shared" si="0"/>
        <v>4.68740000000001</v>
      </c>
      <c r="R6" s="19">
        <f t="shared" si="0"/>
        <v>-0.101100000000002</v>
      </c>
      <c r="S6" s="19">
        <f t="shared" si="0"/>
        <v>-1.2157</v>
      </c>
      <c r="T6" s="19">
        <f t="shared" si="0"/>
        <v>-3.4975</v>
      </c>
      <c r="U6" s="19">
        <f t="shared" si="0"/>
        <v>-4.17140000000001</v>
      </c>
      <c r="V6" s="19">
        <f t="shared" si="0"/>
        <v>-4.09910000000001</v>
      </c>
      <c r="W6" s="19">
        <f t="shared" si="0"/>
        <v>-2.2223</v>
      </c>
      <c r="X6" s="19">
        <f t="shared" si="0"/>
        <v>-4.8122</v>
      </c>
      <c r="Y6" s="19">
        <f t="shared" si="0"/>
        <v>-3.9485</v>
      </c>
      <c r="Z6" s="19">
        <f t="shared" si="0"/>
        <v>-3.55249999999999</v>
      </c>
      <c r="AA6" s="19">
        <f t="shared" si="0"/>
        <v>1.5586</v>
      </c>
    </row>
    <row r="7" s="1" customFormat="1" ht="20" hidden="1" customHeight="1" spans="1:27">
      <c r="A7" s="15">
        <v>45993</v>
      </c>
      <c r="B7" s="16">
        <v>4303121811816</v>
      </c>
      <c r="C7" s="17" t="s">
        <v>37</v>
      </c>
      <c r="D7" s="20">
        <v>89.76</v>
      </c>
      <c r="E7" s="20">
        <v>93.61</v>
      </c>
      <c r="F7" s="20">
        <v>95.66</v>
      </c>
      <c r="G7" s="20">
        <v>94.31</v>
      </c>
      <c r="H7" s="20">
        <v>93.55</v>
      </c>
      <c r="I7" s="20">
        <v>93.49</v>
      </c>
      <c r="J7" s="20">
        <v>89.18</v>
      </c>
      <c r="K7" s="20">
        <v>90.32</v>
      </c>
      <c r="L7" s="20">
        <v>95.81</v>
      </c>
      <c r="M7" s="20">
        <v>95.22</v>
      </c>
      <c r="N7" s="20">
        <v>92.51</v>
      </c>
      <c r="O7" s="20">
        <v>86.28</v>
      </c>
      <c r="P7" s="20">
        <v>83.31</v>
      </c>
      <c r="Q7" s="20">
        <v>92.11</v>
      </c>
      <c r="R7" s="20">
        <v>95.66</v>
      </c>
      <c r="S7" s="20">
        <v>98.57</v>
      </c>
      <c r="T7" s="20">
        <v>99.25</v>
      </c>
      <c r="U7" s="20">
        <v>98.98</v>
      </c>
      <c r="V7" s="20">
        <v>95.79</v>
      </c>
      <c r="W7" s="20">
        <v>91.33</v>
      </c>
      <c r="X7" s="20">
        <v>94.98</v>
      </c>
      <c r="Y7" s="20">
        <v>95.68</v>
      </c>
      <c r="Z7" s="20">
        <v>94.21</v>
      </c>
      <c r="AA7" s="20">
        <v>89.55</v>
      </c>
    </row>
    <row r="8" s="1" customFormat="1" ht="14.25" spans="1:28">
      <c r="A8" s="15"/>
      <c r="B8" s="16"/>
      <c r="C8" s="17" t="s">
        <v>38</v>
      </c>
      <c r="D8" s="20">
        <v>87.4896</v>
      </c>
      <c r="E8" s="20">
        <v>91.7154</v>
      </c>
      <c r="F8" s="20">
        <v>92.1923</v>
      </c>
      <c r="G8" s="20">
        <v>91.4566</v>
      </c>
      <c r="H8" s="20">
        <v>91.8773</v>
      </c>
      <c r="I8" s="20">
        <v>90.9234</v>
      </c>
      <c r="J8" s="20">
        <v>88.9486</v>
      </c>
      <c r="K8" s="20">
        <v>87.8152</v>
      </c>
      <c r="L8" s="20">
        <v>97.4671</v>
      </c>
      <c r="M8" s="20">
        <v>97.1455</v>
      </c>
      <c r="N8" s="20">
        <v>90.4512</v>
      </c>
      <c r="O8" s="20">
        <v>88.5086</v>
      </c>
      <c r="P8" s="20">
        <v>90.7808</v>
      </c>
      <c r="Q8" s="20">
        <v>91.7756</v>
      </c>
      <c r="R8" s="20">
        <v>98.9683</v>
      </c>
      <c r="S8" s="20">
        <v>97.8261</v>
      </c>
      <c r="T8" s="20">
        <v>99.2165</v>
      </c>
      <c r="U8" s="20">
        <v>99.1777</v>
      </c>
      <c r="V8" s="20">
        <v>94.9062</v>
      </c>
      <c r="W8" s="20">
        <v>91.7312</v>
      </c>
      <c r="X8" s="20">
        <v>94.248</v>
      </c>
      <c r="Y8" s="20">
        <v>93.8725</v>
      </c>
      <c r="Z8" s="20">
        <v>92.8158</v>
      </c>
      <c r="AA8" s="20">
        <v>88.3485</v>
      </c>
      <c r="AB8" s="21">
        <f>MAX(K8:AA8)</f>
        <v>99.2165</v>
      </c>
    </row>
    <row r="9" s="1" customFormat="1" ht="14.25" hidden="1" spans="1:27">
      <c r="A9" s="15"/>
      <c r="B9" s="16"/>
      <c r="C9" s="17" t="s">
        <v>39</v>
      </c>
      <c r="D9" s="20">
        <f t="shared" ref="D9:AA9" si="1">D7-D8</f>
        <v>2.27040000000001</v>
      </c>
      <c r="E9" s="20">
        <f t="shared" si="1"/>
        <v>1.8946</v>
      </c>
      <c r="F9" s="20">
        <f t="shared" si="1"/>
        <v>3.46769999999999</v>
      </c>
      <c r="G9" s="20">
        <f t="shared" si="1"/>
        <v>2.85340000000001</v>
      </c>
      <c r="H9" s="20">
        <f t="shared" si="1"/>
        <v>1.67269999999999</v>
      </c>
      <c r="I9" s="20">
        <f t="shared" si="1"/>
        <v>2.56659999999999</v>
      </c>
      <c r="J9" s="20">
        <f t="shared" si="1"/>
        <v>0.231400000000008</v>
      </c>
      <c r="K9" s="20">
        <f t="shared" si="1"/>
        <v>2.50479999999999</v>
      </c>
      <c r="L9" s="20">
        <f t="shared" si="1"/>
        <v>-1.6571</v>
      </c>
      <c r="M9" s="20">
        <f t="shared" si="1"/>
        <v>-1.9255</v>
      </c>
      <c r="N9" s="20">
        <f t="shared" si="1"/>
        <v>2.0588</v>
      </c>
      <c r="O9" s="20">
        <f t="shared" si="1"/>
        <v>-2.2286</v>
      </c>
      <c r="P9" s="20">
        <f t="shared" si="1"/>
        <v>-7.4708</v>
      </c>
      <c r="Q9" s="20">
        <f t="shared" si="1"/>
        <v>0.334400000000002</v>
      </c>
      <c r="R9" s="20">
        <f t="shared" si="1"/>
        <v>-3.3083</v>
      </c>
      <c r="S9" s="20">
        <f t="shared" si="1"/>
        <v>0.743899999999996</v>
      </c>
      <c r="T9" s="20">
        <f t="shared" si="1"/>
        <v>0.0335000000000036</v>
      </c>
      <c r="U9" s="20">
        <f t="shared" si="1"/>
        <v>-0.197699999999998</v>
      </c>
      <c r="V9" s="20">
        <f t="shared" si="1"/>
        <v>0.883800000000008</v>
      </c>
      <c r="W9" s="20">
        <f t="shared" si="1"/>
        <v>-0.401200000000003</v>
      </c>
      <c r="X9" s="20">
        <f t="shared" si="1"/>
        <v>0.731999999999999</v>
      </c>
      <c r="Y9" s="20">
        <f t="shared" si="1"/>
        <v>1.8075</v>
      </c>
      <c r="Z9" s="20">
        <f t="shared" si="1"/>
        <v>1.3942</v>
      </c>
      <c r="AA9" s="20">
        <f t="shared" si="1"/>
        <v>1.2015</v>
      </c>
    </row>
    <row r="10" s="1" customFormat="1" ht="20" hidden="1" customHeight="1" spans="1:27">
      <c r="A10" s="15">
        <v>45994</v>
      </c>
      <c r="B10" s="16">
        <v>4303121811816</v>
      </c>
      <c r="C10" s="17" t="s">
        <v>37</v>
      </c>
      <c r="D10" s="19">
        <v>89.56</v>
      </c>
      <c r="E10" s="19">
        <v>93.54</v>
      </c>
      <c r="F10" s="19">
        <v>95.28</v>
      </c>
      <c r="G10" s="19">
        <v>94.33</v>
      </c>
      <c r="H10" s="19">
        <v>93.46</v>
      </c>
      <c r="I10" s="19">
        <v>93.52</v>
      </c>
      <c r="J10" s="19">
        <v>89.22</v>
      </c>
      <c r="K10" s="19">
        <v>90.41</v>
      </c>
      <c r="L10" s="19">
        <v>95.67</v>
      </c>
      <c r="M10" s="19">
        <v>95.31</v>
      </c>
      <c r="N10" s="19">
        <v>92.44</v>
      </c>
      <c r="O10" s="19">
        <v>86.33</v>
      </c>
      <c r="P10" s="19">
        <v>83.41</v>
      </c>
      <c r="Q10" s="19">
        <v>92.21</v>
      </c>
      <c r="R10" s="19">
        <v>95.56</v>
      </c>
      <c r="S10" s="19">
        <v>98.61</v>
      </c>
      <c r="T10" s="19">
        <v>99.31</v>
      </c>
      <c r="U10" s="19">
        <v>98.76</v>
      </c>
      <c r="V10" s="19">
        <v>95.69</v>
      </c>
      <c r="W10" s="19">
        <v>91.41</v>
      </c>
      <c r="X10" s="19">
        <v>94.79</v>
      </c>
      <c r="Y10" s="19">
        <v>95.81</v>
      </c>
      <c r="Z10" s="19">
        <v>94.33</v>
      </c>
      <c r="AA10" s="19">
        <v>89.43</v>
      </c>
    </row>
    <row r="11" s="1" customFormat="1" ht="14.25" spans="1:28">
      <c r="A11" s="15"/>
      <c r="B11" s="16"/>
      <c r="C11" s="17" t="s">
        <v>38</v>
      </c>
      <c r="D11" s="19">
        <v>87.2098</v>
      </c>
      <c r="E11" s="19">
        <v>93.2342</v>
      </c>
      <c r="F11" s="19">
        <v>92.9298</v>
      </c>
      <c r="G11" s="19">
        <v>91.696</v>
      </c>
      <c r="H11" s="19">
        <v>92.9333</v>
      </c>
      <c r="I11" s="19">
        <v>91.1222</v>
      </c>
      <c r="J11" s="19">
        <v>89.1264</v>
      </c>
      <c r="K11" s="19">
        <v>88.7022</v>
      </c>
      <c r="L11" s="19">
        <v>97.1819</v>
      </c>
      <c r="M11" s="19">
        <v>93.6162</v>
      </c>
      <c r="N11" s="19">
        <v>88.2745</v>
      </c>
      <c r="O11" s="19">
        <v>84.0998</v>
      </c>
      <c r="P11" s="19">
        <v>83.3466</v>
      </c>
      <c r="Q11" s="19">
        <v>89.9096</v>
      </c>
      <c r="R11" s="19">
        <v>93.7024</v>
      </c>
      <c r="S11" s="19">
        <v>96.6064</v>
      </c>
      <c r="T11" s="19">
        <v>99.095</v>
      </c>
      <c r="U11" s="19">
        <v>97.5638</v>
      </c>
      <c r="V11" s="19">
        <v>91.1504</v>
      </c>
      <c r="W11" s="19">
        <v>89.558</v>
      </c>
      <c r="X11" s="19">
        <v>94.9397</v>
      </c>
      <c r="Y11" s="19">
        <v>93.5</v>
      </c>
      <c r="Z11" s="19">
        <v>93.7077</v>
      </c>
      <c r="AA11" s="19">
        <v>88.6899</v>
      </c>
      <c r="AB11" s="21">
        <f>MAX(K11:AA11)</f>
        <v>99.095</v>
      </c>
    </row>
    <row r="12" s="1" customFormat="1" ht="14.25" hidden="1" spans="1:27">
      <c r="A12" s="15"/>
      <c r="B12" s="16"/>
      <c r="C12" s="17" t="s">
        <v>39</v>
      </c>
      <c r="D12" s="19">
        <f t="shared" ref="D12:AA12" si="2">D10-D11</f>
        <v>2.3502</v>
      </c>
      <c r="E12" s="19">
        <f t="shared" si="2"/>
        <v>0.305800000000005</v>
      </c>
      <c r="F12" s="19">
        <f t="shared" si="2"/>
        <v>2.3502</v>
      </c>
      <c r="G12" s="19">
        <f t="shared" si="2"/>
        <v>2.634</v>
      </c>
      <c r="H12" s="19">
        <f t="shared" si="2"/>
        <v>0.526699999999991</v>
      </c>
      <c r="I12" s="19">
        <f t="shared" si="2"/>
        <v>2.39779999999999</v>
      </c>
      <c r="J12" s="19">
        <f t="shared" si="2"/>
        <v>0.093599999999995</v>
      </c>
      <c r="K12" s="19">
        <f t="shared" si="2"/>
        <v>1.70779999999999</v>
      </c>
      <c r="L12" s="19">
        <f t="shared" si="2"/>
        <v>-1.5119</v>
      </c>
      <c r="M12" s="19">
        <f t="shared" si="2"/>
        <v>1.6938</v>
      </c>
      <c r="N12" s="19">
        <f t="shared" si="2"/>
        <v>4.16549999999999</v>
      </c>
      <c r="O12" s="19">
        <f t="shared" si="2"/>
        <v>2.2302</v>
      </c>
      <c r="P12" s="19">
        <f t="shared" si="2"/>
        <v>0.0634000000000015</v>
      </c>
      <c r="Q12" s="19">
        <f t="shared" si="2"/>
        <v>2.3004</v>
      </c>
      <c r="R12" s="19">
        <f t="shared" si="2"/>
        <v>1.85760000000001</v>
      </c>
      <c r="S12" s="19">
        <f t="shared" si="2"/>
        <v>2.00360000000001</v>
      </c>
      <c r="T12" s="19">
        <f t="shared" si="2"/>
        <v>0.215000000000003</v>
      </c>
      <c r="U12" s="19">
        <f t="shared" si="2"/>
        <v>1.1962</v>
      </c>
      <c r="V12" s="19">
        <f t="shared" si="2"/>
        <v>4.53959999999999</v>
      </c>
      <c r="W12" s="19">
        <f t="shared" si="2"/>
        <v>1.85199999999999</v>
      </c>
      <c r="X12" s="19">
        <f t="shared" si="2"/>
        <v>-0.149699999999996</v>
      </c>
      <c r="Y12" s="19">
        <f t="shared" si="2"/>
        <v>2.31</v>
      </c>
      <c r="Z12" s="19">
        <f t="shared" si="2"/>
        <v>0.622299999999996</v>
      </c>
      <c r="AA12" s="19">
        <f t="shared" si="2"/>
        <v>0.740100000000012</v>
      </c>
    </row>
    <row r="13" s="1" customFormat="1" ht="20" hidden="1" customHeight="1" spans="1:27">
      <c r="A13" s="15">
        <v>45995</v>
      </c>
      <c r="B13" s="16">
        <v>4303121811816</v>
      </c>
      <c r="C13" s="17" t="s">
        <v>37</v>
      </c>
      <c r="D13" s="20">
        <v>89.44</v>
      </c>
      <c r="E13" s="20">
        <v>93.21</v>
      </c>
      <c r="F13" s="20">
        <v>94.89</v>
      </c>
      <c r="G13" s="20">
        <v>94.28</v>
      </c>
      <c r="H13" s="20">
        <v>93.61</v>
      </c>
      <c r="I13" s="20">
        <v>93.22</v>
      </c>
      <c r="J13" s="20">
        <v>89.51</v>
      </c>
      <c r="K13" s="20">
        <v>90.34</v>
      </c>
      <c r="L13" s="20">
        <v>95.55</v>
      </c>
      <c r="M13" s="20">
        <v>95.32</v>
      </c>
      <c r="N13" s="20">
        <v>92.51</v>
      </c>
      <c r="O13" s="20">
        <v>86.51</v>
      </c>
      <c r="P13" s="20">
        <v>83.55</v>
      </c>
      <c r="Q13" s="20">
        <v>92.31</v>
      </c>
      <c r="R13" s="20">
        <v>95.61</v>
      </c>
      <c r="S13" s="20">
        <v>98.59</v>
      </c>
      <c r="T13" s="20">
        <v>99.22</v>
      </c>
      <c r="U13" s="20">
        <v>98.56</v>
      </c>
      <c r="V13" s="20">
        <v>95.77</v>
      </c>
      <c r="W13" s="20">
        <v>91.33</v>
      </c>
      <c r="X13" s="20">
        <v>94.58</v>
      </c>
      <c r="Y13" s="20">
        <v>95.58</v>
      </c>
      <c r="Z13" s="20">
        <v>94.55</v>
      </c>
      <c r="AA13" s="20">
        <v>89.31</v>
      </c>
    </row>
    <row r="14" s="1" customFormat="1" ht="14.25" spans="1:28">
      <c r="A14" s="15"/>
      <c r="B14" s="16"/>
      <c r="C14" s="17" t="s">
        <v>38</v>
      </c>
      <c r="D14" s="20">
        <v>88.2464</v>
      </c>
      <c r="E14" s="20">
        <v>91.7013</v>
      </c>
      <c r="F14" s="20">
        <v>92.715</v>
      </c>
      <c r="G14" s="20">
        <v>91.9688</v>
      </c>
      <c r="H14" s="20">
        <v>91.8104</v>
      </c>
      <c r="I14" s="20">
        <v>92.0797</v>
      </c>
      <c r="J14" s="20">
        <v>89.8005</v>
      </c>
      <c r="K14" s="20">
        <v>89.5224</v>
      </c>
      <c r="L14" s="20">
        <v>97.6448</v>
      </c>
      <c r="M14" s="20">
        <v>96.9003</v>
      </c>
      <c r="N14" s="20">
        <v>94.3233</v>
      </c>
      <c r="O14" s="20">
        <v>91.0219</v>
      </c>
      <c r="P14" s="20">
        <v>88.4118</v>
      </c>
      <c r="Q14" s="20">
        <v>95.8126</v>
      </c>
      <c r="R14" s="20">
        <v>97.5462</v>
      </c>
      <c r="S14" s="20">
        <v>99.748</v>
      </c>
      <c r="T14" s="20">
        <v>97.6501</v>
      </c>
      <c r="U14" s="20">
        <v>95.8971</v>
      </c>
      <c r="V14" s="20">
        <v>88.3432</v>
      </c>
      <c r="W14" s="20">
        <v>87.8715</v>
      </c>
      <c r="X14" s="20">
        <v>91.3141</v>
      </c>
      <c r="Y14" s="20">
        <v>91.4566</v>
      </c>
      <c r="Z14" s="20">
        <v>91.4742</v>
      </c>
      <c r="AA14" s="20">
        <v>88.4418</v>
      </c>
      <c r="AB14" s="21">
        <f>MAX(K14:AA14)</f>
        <v>99.748</v>
      </c>
    </row>
    <row r="15" s="1" customFormat="1" ht="14.25" hidden="1" spans="1:27">
      <c r="A15" s="15"/>
      <c r="B15" s="16"/>
      <c r="C15" s="17" t="s">
        <v>39</v>
      </c>
      <c r="D15" s="20">
        <f t="shared" ref="D15:AA15" si="3">D13-D14</f>
        <v>1.1936</v>
      </c>
      <c r="E15" s="20">
        <f t="shared" si="3"/>
        <v>1.50869999999999</v>
      </c>
      <c r="F15" s="20">
        <f t="shared" si="3"/>
        <v>2.175</v>
      </c>
      <c r="G15" s="20">
        <f t="shared" si="3"/>
        <v>2.3112</v>
      </c>
      <c r="H15" s="20">
        <f t="shared" si="3"/>
        <v>1.7996</v>
      </c>
      <c r="I15" s="20">
        <f t="shared" si="3"/>
        <v>1.1403</v>
      </c>
      <c r="J15" s="20">
        <f t="shared" si="3"/>
        <v>-0.290499999999994</v>
      </c>
      <c r="K15" s="20">
        <f t="shared" si="3"/>
        <v>0.817599999999999</v>
      </c>
      <c r="L15" s="20">
        <f t="shared" si="3"/>
        <v>-2.09480000000001</v>
      </c>
      <c r="M15" s="20">
        <f t="shared" si="3"/>
        <v>-1.58030000000001</v>
      </c>
      <c r="N15" s="20">
        <f t="shared" si="3"/>
        <v>-1.8133</v>
      </c>
      <c r="O15" s="20">
        <f t="shared" si="3"/>
        <v>-4.5119</v>
      </c>
      <c r="P15" s="20">
        <f t="shared" si="3"/>
        <v>-4.8618</v>
      </c>
      <c r="Q15" s="20">
        <f t="shared" si="3"/>
        <v>-3.5026</v>
      </c>
      <c r="R15" s="20">
        <f t="shared" si="3"/>
        <v>-1.9362</v>
      </c>
      <c r="S15" s="20">
        <f t="shared" si="3"/>
        <v>-1.158</v>
      </c>
      <c r="T15" s="20">
        <f t="shared" si="3"/>
        <v>1.5699</v>
      </c>
      <c r="U15" s="20">
        <f t="shared" si="3"/>
        <v>2.66290000000001</v>
      </c>
      <c r="V15" s="20">
        <f t="shared" si="3"/>
        <v>7.4268</v>
      </c>
      <c r="W15" s="20">
        <f t="shared" si="3"/>
        <v>3.4585</v>
      </c>
      <c r="X15" s="20">
        <f t="shared" si="3"/>
        <v>3.2659</v>
      </c>
      <c r="Y15" s="20">
        <f t="shared" si="3"/>
        <v>4.1234</v>
      </c>
      <c r="Z15" s="20">
        <f t="shared" si="3"/>
        <v>3.0758</v>
      </c>
      <c r="AA15" s="20">
        <f t="shared" si="3"/>
        <v>0.868200000000002</v>
      </c>
    </row>
    <row r="16" s="1" customFormat="1" ht="20" hidden="1" customHeight="1" spans="1:27">
      <c r="A16" s="15">
        <v>45996</v>
      </c>
      <c r="B16" s="16">
        <v>4303121811816</v>
      </c>
      <c r="C16" s="17" t="s">
        <v>37</v>
      </c>
      <c r="D16" s="19">
        <v>89.51</v>
      </c>
      <c r="E16" s="19">
        <v>93.38</v>
      </c>
      <c r="F16" s="19">
        <v>95.11</v>
      </c>
      <c r="G16" s="19">
        <v>94.31</v>
      </c>
      <c r="H16" s="19">
        <v>93.54</v>
      </c>
      <c r="I16" s="19">
        <v>93.33</v>
      </c>
      <c r="J16" s="19">
        <v>89.61</v>
      </c>
      <c r="K16" s="19">
        <v>90.54</v>
      </c>
      <c r="L16" s="19">
        <v>95.42</v>
      </c>
      <c r="M16" s="19">
        <v>95.22</v>
      </c>
      <c r="N16" s="19">
        <v>92.31</v>
      </c>
      <c r="O16" s="19">
        <v>87.11</v>
      </c>
      <c r="P16" s="19">
        <v>83.26</v>
      </c>
      <c r="Q16" s="19">
        <v>92.51</v>
      </c>
      <c r="R16" s="19">
        <v>95.58</v>
      </c>
      <c r="S16" s="19">
        <v>98.62</v>
      </c>
      <c r="T16" s="19">
        <v>99.33</v>
      </c>
      <c r="U16" s="19">
        <v>98.71</v>
      </c>
      <c r="V16" s="19">
        <v>95.66</v>
      </c>
      <c r="W16" s="19">
        <v>91.54</v>
      </c>
      <c r="X16" s="19">
        <v>94.61</v>
      </c>
      <c r="Y16" s="19">
        <v>95.76</v>
      </c>
      <c r="Z16" s="19">
        <v>94.33</v>
      </c>
      <c r="AA16" s="19">
        <v>89.26</v>
      </c>
    </row>
    <row r="17" s="1" customFormat="1" ht="14.25" spans="1:28">
      <c r="A17" s="15"/>
      <c r="B17" s="16"/>
      <c r="C17" s="17" t="s">
        <v>38</v>
      </c>
      <c r="D17" s="19">
        <v>86.423</v>
      </c>
      <c r="E17" s="19">
        <v>90.6171</v>
      </c>
      <c r="F17" s="19">
        <v>92.3349</v>
      </c>
      <c r="G17" s="19">
        <v>91.9635</v>
      </c>
      <c r="H17" s="19">
        <v>92.261</v>
      </c>
      <c r="I17" s="19">
        <v>88.9564</v>
      </c>
      <c r="J17" s="19">
        <v>89.0155</v>
      </c>
      <c r="K17" s="19">
        <v>88.9363</v>
      </c>
      <c r="L17" s="19">
        <v>96.5307</v>
      </c>
      <c r="M17" s="19">
        <v>98.31</v>
      </c>
      <c r="N17" s="19">
        <v>94.2163</v>
      </c>
      <c r="O17" s="19">
        <v>89.1211</v>
      </c>
      <c r="P17" s="19">
        <v>88.9979</v>
      </c>
      <c r="Q17" s="19">
        <v>94.8728</v>
      </c>
      <c r="R17" s="19">
        <v>96.4498</v>
      </c>
      <c r="S17" s="19">
        <v>98.0496</v>
      </c>
      <c r="T17" s="19">
        <v>98.4456</v>
      </c>
      <c r="U17" s="19">
        <v>95.7827</v>
      </c>
      <c r="V17" s="19">
        <v>93.2712</v>
      </c>
      <c r="W17" s="19">
        <v>89.6174</v>
      </c>
      <c r="X17" s="19">
        <v>92.3245</v>
      </c>
      <c r="Y17" s="19">
        <v>92.6168</v>
      </c>
      <c r="Z17" s="19">
        <v>92.3315</v>
      </c>
      <c r="AA17" s="19">
        <v>87.5425</v>
      </c>
      <c r="AB17" s="21">
        <f>MAX(K17:AA17)</f>
        <v>98.4456</v>
      </c>
    </row>
    <row r="18" s="1" customFormat="1" ht="14.25" hidden="1" spans="1:27">
      <c r="A18" s="15"/>
      <c r="B18" s="16"/>
      <c r="C18" s="17" t="s">
        <v>39</v>
      </c>
      <c r="D18" s="19">
        <f t="shared" ref="D18:AA18" si="4">D16-D17</f>
        <v>3.087</v>
      </c>
      <c r="E18" s="19">
        <f t="shared" si="4"/>
        <v>2.7629</v>
      </c>
      <c r="F18" s="19">
        <f t="shared" si="4"/>
        <v>2.77509999999999</v>
      </c>
      <c r="G18" s="19">
        <f t="shared" si="4"/>
        <v>2.34650000000001</v>
      </c>
      <c r="H18" s="19">
        <f t="shared" si="4"/>
        <v>1.27900000000001</v>
      </c>
      <c r="I18" s="19">
        <f t="shared" si="4"/>
        <v>4.3736</v>
      </c>
      <c r="J18" s="19">
        <f t="shared" si="4"/>
        <v>0.594499999999996</v>
      </c>
      <c r="K18" s="19">
        <f t="shared" si="4"/>
        <v>1.6037</v>
      </c>
      <c r="L18" s="19">
        <f t="shared" si="4"/>
        <v>-1.11069999999999</v>
      </c>
      <c r="M18" s="19">
        <f t="shared" si="4"/>
        <v>-3.09</v>
      </c>
      <c r="N18" s="19">
        <f t="shared" si="4"/>
        <v>-1.9063</v>
      </c>
      <c r="O18" s="19">
        <f t="shared" si="4"/>
        <v>-2.0111</v>
      </c>
      <c r="P18" s="19">
        <f t="shared" si="4"/>
        <v>-5.7379</v>
      </c>
      <c r="Q18" s="19">
        <f t="shared" si="4"/>
        <v>-2.36279999999999</v>
      </c>
      <c r="R18" s="19">
        <f t="shared" si="4"/>
        <v>-0.869799999999998</v>
      </c>
      <c r="S18" s="19">
        <f t="shared" si="4"/>
        <v>0.570400000000006</v>
      </c>
      <c r="T18" s="19">
        <f t="shared" si="4"/>
        <v>0.884399999999999</v>
      </c>
      <c r="U18" s="19">
        <f t="shared" si="4"/>
        <v>2.92729999999999</v>
      </c>
      <c r="V18" s="19">
        <f t="shared" si="4"/>
        <v>2.3888</v>
      </c>
      <c r="W18" s="19">
        <f t="shared" si="4"/>
        <v>1.9226</v>
      </c>
      <c r="X18" s="19">
        <f t="shared" si="4"/>
        <v>2.2855</v>
      </c>
      <c r="Y18" s="19">
        <f t="shared" si="4"/>
        <v>3.14320000000001</v>
      </c>
      <c r="Z18" s="19">
        <f t="shared" si="4"/>
        <v>1.99849999999999</v>
      </c>
      <c r="AA18" s="19">
        <f t="shared" si="4"/>
        <v>1.7175</v>
      </c>
    </row>
    <row r="19" s="1" customFormat="1" ht="20" hidden="1" customHeight="1" spans="1:27">
      <c r="A19" s="15">
        <v>45997</v>
      </c>
      <c r="B19" s="16">
        <v>4303121811816</v>
      </c>
      <c r="C19" s="17" t="s">
        <v>37</v>
      </c>
      <c r="D19" s="20">
        <v>89.77</v>
      </c>
      <c r="E19" s="20">
        <v>94.81</v>
      </c>
      <c r="F19" s="20">
        <v>94.61</v>
      </c>
      <c r="G19" s="20">
        <v>94.58</v>
      </c>
      <c r="H19" s="20">
        <v>94.33</v>
      </c>
      <c r="I19" s="20">
        <v>92.65</v>
      </c>
      <c r="J19" s="20">
        <v>91.76</v>
      </c>
      <c r="K19" s="20">
        <v>91.31</v>
      </c>
      <c r="L19" s="20">
        <v>95.58</v>
      </c>
      <c r="M19" s="20">
        <v>94.33</v>
      </c>
      <c r="N19" s="20">
        <v>90.76</v>
      </c>
      <c r="O19" s="20">
        <v>85.65</v>
      </c>
      <c r="P19" s="20">
        <v>87.32</v>
      </c>
      <c r="Q19" s="20">
        <v>91.58</v>
      </c>
      <c r="R19" s="20">
        <v>94.33</v>
      </c>
      <c r="S19" s="20">
        <v>97.68</v>
      </c>
      <c r="T19" s="20">
        <v>97.88</v>
      </c>
      <c r="U19" s="20">
        <v>97.51</v>
      </c>
      <c r="V19" s="20">
        <v>95.55</v>
      </c>
      <c r="W19" s="20">
        <v>88.67</v>
      </c>
      <c r="X19" s="20">
        <v>93.26</v>
      </c>
      <c r="Y19" s="20">
        <v>93.55</v>
      </c>
      <c r="Z19" s="20">
        <v>91.49</v>
      </c>
      <c r="AA19" s="20">
        <v>88.76</v>
      </c>
    </row>
    <row r="20" s="1" customFormat="1" ht="14.25" spans="1:28">
      <c r="A20" s="15"/>
      <c r="B20" s="16"/>
      <c r="C20" s="17" t="s">
        <v>38</v>
      </c>
      <c r="D20" s="20">
        <v>86.5426</v>
      </c>
      <c r="E20" s="20">
        <v>91.3953</v>
      </c>
      <c r="F20" s="20">
        <v>92.2487</v>
      </c>
      <c r="G20" s="20">
        <v>90.5319</v>
      </c>
      <c r="H20" s="20">
        <v>90.2548</v>
      </c>
      <c r="I20" s="20">
        <v>90.9719</v>
      </c>
      <c r="J20" s="20">
        <v>88.1848</v>
      </c>
      <c r="K20" s="20">
        <v>90.261</v>
      </c>
      <c r="L20" s="20">
        <v>95.6542</v>
      </c>
      <c r="M20" s="20">
        <v>94.8322</v>
      </c>
      <c r="N20" s="20">
        <v>92.0005</v>
      </c>
      <c r="O20" s="20">
        <v>84.8514</v>
      </c>
      <c r="P20" s="20">
        <v>83.8658</v>
      </c>
      <c r="Q20" s="20">
        <v>90.3602</v>
      </c>
      <c r="R20" s="20">
        <v>93.7306</v>
      </c>
      <c r="S20" s="20">
        <v>93.6109</v>
      </c>
      <c r="T20" s="20">
        <v>98.2749</v>
      </c>
      <c r="U20" s="20">
        <v>94.021</v>
      </c>
      <c r="V20" s="20">
        <v>91.2208</v>
      </c>
      <c r="W20" s="20">
        <v>86.2717</v>
      </c>
      <c r="X20" s="20">
        <v>90.5854</v>
      </c>
      <c r="Y20" s="20">
        <v>90.6048</v>
      </c>
      <c r="Z20" s="20">
        <v>90.0662</v>
      </c>
      <c r="AA20" s="20">
        <v>86.8437</v>
      </c>
      <c r="AB20" s="21">
        <f>MAX(K20:AA20)</f>
        <v>98.2749</v>
      </c>
    </row>
    <row r="21" s="1" customFormat="1" ht="15" hidden="1" customHeight="1" spans="1:27">
      <c r="A21" s="15"/>
      <c r="B21" s="16"/>
      <c r="C21" s="17" t="s">
        <v>39</v>
      </c>
      <c r="D21" s="20">
        <f t="shared" ref="D21:AA21" si="5">D19-D20</f>
        <v>3.2274</v>
      </c>
      <c r="E21" s="20">
        <f t="shared" si="5"/>
        <v>3.4147</v>
      </c>
      <c r="F21" s="20">
        <f t="shared" si="5"/>
        <v>2.3613</v>
      </c>
      <c r="G21" s="20">
        <f t="shared" si="5"/>
        <v>4.04810000000001</v>
      </c>
      <c r="H21" s="20">
        <f t="shared" si="5"/>
        <v>4.0752</v>
      </c>
      <c r="I21" s="20">
        <f t="shared" si="5"/>
        <v>1.6781</v>
      </c>
      <c r="J21" s="20">
        <f t="shared" si="5"/>
        <v>3.57520000000001</v>
      </c>
      <c r="K21" s="20">
        <f t="shared" si="5"/>
        <v>1.04900000000001</v>
      </c>
      <c r="L21" s="20">
        <f t="shared" si="5"/>
        <v>-0.0742000000000047</v>
      </c>
      <c r="M21" s="20">
        <f t="shared" si="5"/>
        <v>-0.502200000000002</v>
      </c>
      <c r="N21" s="20">
        <f t="shared" si="5"/>
        <v>-1.2405</v>
      </c>
      <c r="O21" s="20">
        <f t="shared" si="5"/>
        <v>0.798600000000008</v>
      </c>
      <c r="P21" s="20">
        <f t="shared" si="5"/>
        <v>3.4542</v>
      </c>
      <c r="Q21" s="20">
        <f t="shared" si="5"/>
        <v>1.21979999999999</v>
      </c>
      <c r="R21" s="20">
        <f t="shared" si="5"/>
        <v>0.599400000000003</v>
      </c>
      <c r="S21" s="20">
        <f t="shared" si="5"/>
        <v>4.06910000000001</v>
      </c>
      <c r="T21" s="20">
        <f t="shared" si="5"/>
        <v>-0.394900000000007</v>
      </c>
      <c r="U21" s="20">
        <f t="shared" si="5"/>
        <v>3.489</v>
      </c>
      <c r="V21" s="20">
        <f t="shared" si="5"/>
        <v>4.3292</v>
      </c>
      <c r="W21" s="20">
        <f t="shared" si="5"/>
        <v>2.39830000000001</v>
      </c>
      <c r="X21" s="20">
        <f t="shared" si="5"/>
        <v>2.6746</v>
      </c>
      <c r="Y21" s="20">
        <f t="shared" si="5"/>
        <v>2.9452</v>
      </c>
      <c r="Z21" s="20">
        <f t="shared" si="5"/>
        <v>1.4238</v>
      </c>
      <c r="AA21" s="20">
        <f t="shared" si="5"/>
        <v>1.91630000000001</v>
      </c>
    </row>
    <row r="22" s="1" customFormat="1" ht="20" hidden="1" customHeight="1" spans="1:27">
      <c r="A22" s="15">
        <v>45998</v>
      </c>
      <c r="B22" s="16">
        <v>4303121811816</v>
      </c>
      <c r="C22" s="17" t="s">
        <v>37</v>
      </c>
      <c r="D22" s="19">
        <v>88.21</v>
      </c>
      <c r="E22" s="19">
        <v>91.22</v>
      </c>
      <c r="F22" s="19">
        <v>91.64</v>
      </c>
      <c r="G22" s="19">
        <v>90.88</v>
      </c>
      <c r="H22" s="19">
        <v>90.76</v>
      </c>
      <c r="I22" s="19">
        <v>88.66</v>
      </c>
      <c r="J22" s="19">
        <v>82.31</v>
      </c>
      <c r="K22" s="19">
        <v>76.77</v>
      </c>
      <c r="L22" s="19">
        <v>78.59</v>
      </c>
      <c r="M22" s="19">
        <v>77.52</v>
      </c>
      <c r="N22" s="32">
        <v>63.33</v>
      </c>
      <c r="O22" s="32">
        <v>60.21</v>
      </c>
      <c r="P22" s="32">
        <v>66.44</v>
      </c>
      <c r="Q22" s="32">
        <v>71.68</v>
      </c>
      <c r="R22" s="32">
        <v>72.33</v>
      </c>
      <c r="S22" s="19">
        <v>73.81</v>
      </c>
      <c r="T22" s="19">
        <v>77.61</v>
      </c>
      <c r="U22" s="19">
        <v>76.58</v>
      </c>
      <c r="V22" s="19">
        <v>74.22</v>
      </c>
      <c r="W22" s="19">
        <v>73.31</v>
      </c>
      <c r="X22" s="19">
        <v>78.11</v>
      </c>
      <c r="Y22" s="19">
        <v>78.18</v>
      </c>
      <c r="Z22" s="19">
        <v>77.25</v>
      </c>
      <c r="AA22" s="19">
        <v>72.31</v>
      </c>
    </row>
    <row r="23" s="1" customFormat="1" ht="14.25" spans="1:28">
      <c r="A23" s="15"/>
      <c r="B23" s="16"/>
      <c r="C23" s="17" t="s">
        <v>38</v>
      </c>
      <c r="D23" s="19">
        <v>85.9373</v>
      </c>
      <c r="E23" s="19">
        <v>90.4094</v>
      </c>
      <c r="F23" s="19">
        <v>89.7072</v>
      </c>
      <c r="G23" s="19">
        <v>88.5069</v>
      </c>
      <c r="H23" s="19">
        <v>87.5917</v>
      </c>
      <c r="I23" s="19">
        <v>84.209</v>
      </c>
      <c r="J23" s="19">
        <v>77.5966</v>
      </c>
      <c r="K23" s="19">
        <v>73.0541</v>
      </c>
      <c r="L23" s="19">
        <v>73.0215</v>
      </c>
      <c r="M23" s="34">
        <v>73.4125</v>
      </c>
      <c r="N23" s="36">
        <v>69.4858</v>
      </c>
      <c r="O23" s="37">
        <v>67.8952</v>
      </c>
      <c r="P23" s="36">
        <v>64.3826</v>
      </c>
      <c r="Q23" s="36">
        <v>71.7936</v>
      </c>
      <c r="R23" s="36">
        <v>72.6526</v>
      </c>
      <c r="S23" s="35">
        <v>70.9957</v>
      </c>
      <c r="T23" s="19">
        <v>73.392</v>
      </c>
      <c r="U23" s="19">
        <v>71.6197</v>
      </c>
      <c r="V23" s="19">
        <v>67.9135</v>
      </c>
      <c r="W23" s="19">
        <v>68.1613</v>
      </c>
      <c r="X23" s="19">
        <v>73.3621</v>
      </c>
      <c r="Y23" s="19">
        <v>72.8341</v>
      </c>
      <c r="Z23" s="19">
        <v>72.4592</v>
      </c>
      <c r="AA23" s="19">
        <v>70.0093</v>
      </c>
      <c r="AB23" s="21">
        <f>MAX(K23:AA23)</f>
        <v>73.4125</v>
      </c>
    </row>
    <row r="24" s="1" customFormat="1" ht="14.25" hidden="1" spans="1:27">
      <c r="A24" s="15"/>
      <c r="B24" s="16"/>
      <c r="C24" s="17" t="s">
        <v>39</v>
      </c>
      <c r="D24" s="19">
        <f t="shared" ref="D24:AA24" si="6">D22-D23</f>
        <v>2.2727</v>
      </c>
      <c r="E24" s="19">
        <f t="shared" si="6"/>
        <v>0.810599999999994</v>
      </c>
      <c r="F24" s="19">
        <f t="shared" si="6"/>
        <v>1.9328</v>
      </c>
      <c r="G24" s="19">
        <f t="shared" si="6"/>
        <v>2.37309999999999</v>
      </c>
      <c r="H24" s="19">
        <f t="shared" si="6"/>
        <v>3.1683</v>
      </c>
      <c r="I24" s="19">
        <f t="shared" si="6"/>
        <v>4.45099999999999</v>
      </c>
      <c r="J24" s="19">
        <f t="shared" si="6"/>
        <v>4.71340000000001</v>
      </c>
      <c r="K24" s="19">
        <f t="shared" si="6"/>
        <v>3.71589999999999</v>
      </c>
      <c r="L24" s="19">
        <f t="shared" si="6"/>
        <v>5.5685</v>
      </c>
      <c r="M24" s="19">
        <f t="shared" si="6"/>
        <v>4.1075</v>
      </c>
      <c r="N24" s="33">
        <f t="shared" si="6"/>
        <v>-6.1558</v>
      </c>
      <c r="O24" s="33">
        <f t="shared" si="6"/>
        <v>-7.6852</v>
      </c>
      <c r="P24" s="33">
        <f t="shared" si="6"/>
        <v>2.0574</v>
      </c>
      <c r="Q24" s="33">
        <f t="shared" si="6"/>
        <v>-0.113599999999991</v>
      </c>
      <c r="R24" s="33">
        <f t="shared" si="6"/>
        <v>-0.322600000000008</v>
      </c>
      <c r="S24" s="19">
        <f t="shared" si="6"/>
        <v>2.8143</v>
      </c>
      <c r="T24" s="19">
        <f t="shared" si="6"/>
        <v>4.218</v>
      </c>
      <c r="U24" s="19">
        <f t="shared" si="6"/>
        <v>4.9603</v>
      </c>
      <c r="V24" s="19">
        <f t="shared" si="6"/>
        <v>6.3065</v>
      </c>
      <c r="W24" s="19">
        <f t="shared" si="6"/>
        <v>5.14870000000001</v>
      </c>
      <c r="X24" s="19">
        <f t="shared" si="6"/>
        <v>4.7479</v>
      </c>
      <c r="Y24" s="19">
        <f t="shared" si="6"/>
        <v>5.3459</v>
      </c>
      <c r="Z24" s="19">
        <f t="shared" si="6"/>
        <v>4.7908</v>
      </c>
      <c r="AA24" s="19">
        <f t="shared" si="6"/>
        <v>2.30070000000001</v>
      </c>
    </row>
    <row r="25" s="1" customFormat="1" ht="20" hidden="1" customHeight="1" spans="1:27">
      <c r="A25" s="15">
        <v>45999</v>
      </c>
      <c r="B25" s="16">
        <v>4303121811816</v>
      </c>
      <c r="C25" s="17" t="s">
        <v>37</v>
      </c>
      <c r="D25" s="20">
        <v>72.59</v>
      </c>
      <c r="E25" s="20">
        <v>75.38</v>
      </c>
      <c r="F25" s="20">
        <v>77.49</v>
      </c>
      <c r="G25" s="20">
        <v>78.32</v>
      </c>
      <c r="H25" s="20">
        <v>78.64</v>
      </c>
      <c r="I25" s="20">
        <v>79.28</v>
      </c>
      <c r="J25" s="20">
        <v>77.38</v>
      </c>
      <c r="K25" s="20">
        <v>84.59</v>
      </c>
      <c r="L25" s="20">
        <v>93.46</v>
      </c>
      <c r="M25" s="20">
        <v>92.49</v>
      </c>
      <c r="N25" s="20">
        <v>90.38</v>
      </c>
      <c r="O25" s="20">
        <v>89.24</v>
      </c>
      <c r="P25" s="20">
        <v>89.59</v>
      </c>
      <c r="Q25" s="20">
        <v>92.34</v>
      </c>
      <c r="R25" s="20">
        <v>92.57</v>
      </c>
      <c r="S25" s="20">
        <v>96.87</v>
      </c>
      <c r="T25" s="20">
        <v>97.69</v>
      </c>
      <c r="U25" s="20">
        <v>98.58</v>
      </c>
      <c r="V25" s="20">
        <v>94.38</v>
      </c>
      <c r="W25" s="20">
        <v>92.34</v>
      </c>
      <c r="X25" s="20">
        <v>94.59</v>
      </c>
      <c r="Y25" s="20">
        <v>93.21</v>
      </c>
      <c r="Z25" s="20">
        <v>92.84</v>
      </c>
      <c r="AA25" s="20">
        <v>89.13</v>
      </c>
    </row>
    <row r="26" s="1" customFormat="1" ht="14.25" spans="1:28">
      <c r="A26" s="15"/>
      <c r="B26" s="16"/>
      <c r="C26" s="17" t="s">
        <v>38</v>
      </c>
      <c r="D26" s="20">
        <v>69.4338</v>
      </c>
      <c r="E26" s="20">
        <v>73.2934</v>
      </c>
      <c r="F26" s="20">
        <v>73.2213</v>
      </c>
      <c r="G26" s="20">
        <v>73.443</v>
      </c>
      <c r="H26" s="20">
        <v>76.4949</v>
      </c>
      <c r="I26" s="20">
        <v>76.3805</v>
      </c>
      <c r="J26" s="20">
        <v>76.5142</v>
      </c>
      <c r="K26" s="20">
        <v>82.8643</v>
      </c>
      <c r="L26" s="20">
        <v>93.0525</v>
      </c>
      <c r="M26" s="20">
        <v>90.4165</v>
      </c>
      <c r="N26" s="20">
        <v>88.5546</v>
      </c>
      <c r="O26" s="20">
        <v>82.4982</v>
      </c>
      <c r="P26" s="20">
        <v>84.7141</v>
      </c>
      <c r="Q26" s="20">
        <v>87.5812</v>
      </c>
      <c r="R26" s="20">
        <v>91.2469</v>
      </c>
      <c r="S26" s="20">
        <v>92.9984</v>
      </c>
      <c r="T26" s="20">
        <v>93.7376</v>
      </c>
      <c r="U26" s="20">
        <v>93.2835</v>
      </c>
      <c r="V26" s="20">
        <v>90.6365</v>
      </c>
      <c r="W26" s="20">
        <v>87.4368</v>
      </c>
      <c r="X26" s="20">
        <v>91.043</v>
      </c>
      <c r="Y26" s="20">
        <v>87.7794</v>
      </c>
      <c r="Z26" s="20">
        <v>89.3358</v>
      </c>
      <c r="AA26" s="20">
        <v>84.8302</v>
      </c>
      <c r="AB26" s="21">
        <f>MAX(K26:AA26)</f>
        <v>93.7376</v>
      </c>
    </row>
    <row r="27" s="1" customFormat="1" ht="14.25" hidden="1" spans="1:27">
      <c r="A27" s="15"/>
      <c r="B27" s="16"/>
      <c r="C27" s="17" t="s">
        <v>39</v>
      </c>
      <c r="D27" s="20">
        <f t="shared" ref="D27:AA27" si="7">D25-D26</f>
        <v>3.1562</v>
      </c>
      <c r="E27" s="20">
        <f t="shared" si="7"/>
        <v>2.08659999999999</v>
      </c>
      <c r="F27" s="20">
        <f t="shared" si="7"/>
        <v>4.2687</v>
      </c>
      <c r="G27" s="20">
        <f t="shared" si="7"/>
        <v>4.877</v>
      </c>
      <c r="H27" s="20">
        <f t="shared" si="7"/>
        <v>2.1451</v>
      </c>
      <c r="I27" s="20">
        <f t="shared" si="7"/>
        <v>2.8995</v>
      </c>
      <c r="J27" s="20">
        <f t="shared" si="7"/>
        <v>0.865799999999993</v>
      </c>
      <c r="K27" s="20">
        <f t="shared" si="7"/>
        <v>1.7257</v>
      </c>
      <c r="L27" s="20">
        <f t="shared" si="7"/>
        <v>0.407499999999999</v>
      </c>
      <c r="M27" s="20">
        <f t="shared" si="7"/>
        <v>2.0735</v>
      </c>
      <c r="N27" s="20">
        <f t="shared" si="7"/>
        <v>1.8254</v>
      </c>
      <c r="O27" s="20">
        <f t="shared" si="7"/>
        <v>6.7418</v>
      </c>
      <c r="P27" s="20">
        <f t="shared" si="7"/>
        <v>4.8759</v>
      </c>
      <c r="Q27" s="20">
        <f t="shared" si="7"/>
        <v>4.75880000000001</v>
      </c>
      <c r="R27" s="20">
        <f t="shared" si="7"/>
        <v>1.3231</v>
      </c>
      <c r="S27" s="20">
        <f t="shared" si="7"/>
        <v>3.8716</v>
      </c>
      <c r="T27" s="20">
        <f t="shared" si="7"/>
        <v>3.9524</v>
      </c>
      <c r="U27" s="20">
        <f t="shared" si="7"/>
        <v>5.29649999999999</v>
      </c>
      <c r="V27" s="20">
        <f t="shared" si="7"/>
        <v>3.7435</v>
      </c>
      <c r="W27" s="20">
        <f t="shared" si="7"/>
        <v>4.9032</v>
      </c>
      <c r="X27" s="20">
        <f t="shared" si="7"/>
        <v>3.547</v>
      </c>
      <c r="Y27" s="20">
        <f t="shared" si="7"/>
        <v>5.4306</v>
      </c>
      <c r="Z27" s="20">
        <f t="shared" si="7"/>
        <v>3.5042</v>
      </c>
      <c r="AA27" s="20">
        <f t="shared" si="7"/>
        <v>4.29979999999999</v>
      </c>
    </row>
    <row r="28" s="1" customFormat="1" ht="20" hidden="1" customHeight="1" spans="1:27">
      <c r="A28" s="15">
        <v>46000</v>
      </c>
      <c r="B28" s="16">
        <v>4303121811816</v>
      </c>
      <c r="C28" s="17" t="s">
        <v>37</v>
      </c>
      <c r="D28" s="19">
        <v>88.12</v>
      </c>
      <c r="E28" s="19">
        <v>91.34</v>
      </c>
      <c r="F28" s="19">
        <v>93.58</v>
      </c>
      <c r="G28" s="19">
        <v>94.26</v>
      </c>
      <c r="H28" s="19">
        <v>92.12</v>
      </c>
      <c r="I28" s="19">
        <v>91.38</v>
      </c>
      <c r="J28" s="19">
        <v>89.47</v>
      </c>
      <c r="K28" s="19">
        <v>90.12</v>
      </c>
      <c r="L28" s="19">
        <v>95.6</v>
      </c>
      <c r="M28" s="19">
        <v>94.27</v>
      </c>
      <c r="N28" s="19">
        <v>92.38</v>
      </c>
      <c r="O28" s="19">
        <v>88.76</v>
      </c>
      <c r="P28" s="19">
        <v>88.12</v>
      </c>
      <c r="Q28" s="19">
        <v>91.49</v>
      </c>
      <c r="R28" s="19">
        <v>93.28</v>
      </c>
      <c r="S28" s="19">
        <v>96.56</v>
      </c>
      <c r="T28" s="19">
        <v>97.28</v>
      </c>
      <c r="U28" s="19">
        <v>98.16</v>
      </c>
      <c r="V28" s="19">
        <v>93.12</v>
      </c>
      <c r="W28" s="19">
        <v>91.54</v>
      </c>
      <c r="X28" s="19">
        <v>92.12</v>
      </c>
      <c r="Y28" s="19">
        <v>91.38</v>
      </c>
      <c r="Z28" s="19">
        <v>90.87</v>
      </c>
      <c r="AA28" s="19">
        <v>89.06</v>
      </c>
    </row>
    <row r="29" s="1" customFormat="1" ht="14.25" spans="1:28">
      <c r="A29" s="15"/>
      <c r="B29" s="16"/>
      <c r="C29" s="17" t="s">
        <v>38</v>
      </c>
      <c r="D29" s="19">
        <v>85.1154</v>
      </c>
      <c r="E29" s="19">
        <v>89.2338</v>
      </c>
      <c r="F29" s="19">
        <v>89.9202</v>
      </c>
      <c r="G29" s="19">
        <v>89.4749</v>
      </c>
      <c r="H29" s="19">
        <v>89.7688</v>
      </c>
      <c r="I29" s="19">
        <v>89.0613</v>
      </c>
      <c r="J29" s="19">
        <v>86.1538</v>
      </c>
      <c r="K29" s="19">
        <v>85.9795</v>
      </c>
      <c r="L29" s="19">
        <v>92.0726</v>
      </c>
      <c r="M29" s="19">
        <v>91.0058</v>
      </c>
      <c r="N29" s="19">
        <v>86.6518</v>
      </c>
      <c r="O29" s="19">
        <v>80.351</v>
      </c>
      <c r="P29" s="19">
        <v>81.1571</v>
      </c>
      <c r="Q29" s="19">
        <v>88.8906</v>
      </c>
      <c r="R29" s="19">
        <v>90.6826</v>
      </c>
      <c r="S29" s="19">
        <v>92.1043</v>
      </c>
      <c r="T29" s="19">
        <v>94.4997</v>
      </c>
      <c r="U29" s="19">
        <v>93.1005</v>
      </c>
      <c r="V29" s="19">
        <v>89.2584</v>
      </c>
      <c r="W29" s="19">
        <v>86.7715</v>
      </c>
      <c r="X29" s="19">
        <v>88.8342</v>
      </c>
      <c r="Y29" s="19">
        <v>89.8322</v>
      </c>
      <c r="Z29" s="19">
        <v>88.9574</v>
      </c>
      <c r="AA29" s="19">
        <v>85.668</v>
      </c>
      <c r="AB29" s="21">
        <f>MAX(K29:AA29)</f>
        <v>94.4997</v>
      </c>
    </row>
    <row r="30" s="1" customFormat="1" ht="14.25" hidden="1" spans="1:27">
      <c r="A30" s="15"/>
      <c r="B30" s="16"/>
      <c r="C30" s="17" t="s">
        <v>39</v>
      </c>
      <c r="D30" s="19">
        <f t="shared" ref="D30:AA30" si="8">D28-D29</f>
        <v>3.00460000000001</v>
      </c>
      <c r="E30" s="19">
        <f t="shared" si="8"/>
        <v>2.1062</v>
      </c>
      <c r="F30" s="19">
        <f t="shared" si="8"/>
        <v>3.6598</v>
      </c>
      <c r="G30" s="19">
        <f t="shared" si="8"/>
        <v>4.7851</v>
      </c>
      <c r="H30" s="19">
        <f t="shared" si="8"/>
        <v>2.35120000000001</v>
      </c>
      <c r="I30" s="19">
        <f t="shared" si="8"/>
        <v>2.31869999999999</v>
      </c>
      <c r="J30" s="19">
        <f t="shared" si="8"/>
        <v>3.31619999999999</v>
      </c>
      <c r="K30" s="19">
        <f t="shared" si="8"/>
        <v>4.1405</v>
      </c>
      <c r="L30" s="19">
        <f t="shared" si="8"/>
        <v>3.5274</v>
      </c>
      <c r="M30" s="19">
        <f t="shared" si="8"/>
        <v>3.2642</v>
      </c>
      <c r="N30" s="19">
        <f t="shared" si="8"/>
        <v>5.7282</v>
      </c>
      <c r="O30" s="19">
        <f t="shared" si="8"/>
        <v>8.40900000000001</v>
      </c>
      <c r="P30" s="19">
        <f t="shared" si="8"/>
        <v>6.9629</v>
      </c>
      <c r="Q30" s="19">
        <f t="shared" si="8"/>
        <v>2.59939999999999</v>
      </c>
      <c r="R30" s="19">
        <f t="shared" si="8"/>
        <v>2.59740000000001</v>
      </c>
      <c r="S30" s="19">
        <f t="shared" si="8"/>
        <v>4.45570000000001</v>
      </c>
      <c r="T30" s="19">
        <f t="shared" si="8"/>
        <v>2.7803</v>
      </c>
      <c r="U30" s="19">
        <f t="shared" si="8"/>
        <v>5.0595</v>
      </c>
      <c r="V30" s="19">
        <f t="shared" si="8"/>
        <v>3.86160000000001</v>
      </c>
      <c r="W30" s="19">
        <f t="shared" si="8"/>
        <v>4.7685</v>
      </c>
      <c r="X30" s="19">
        <f t="shared" si="8"/>
        <v>3.28580000000001</v>
      </c>
      <c r="Y30" s="19">
        <f t="shared" si="8"/>
        <v>1.5478</v>
      </c>
      <c r="Z30" s="19">
        <f t="shared" si="8"/>
        <v>1.9126</v>
      </c>
      <c r="AA30" s="19">
        <f t="shared" si="8"/>
        <v>3.392</v>
      </c>
    </row>
    <row r="31" s="1" customFormat="1" ht="20" hidden="1" customHeight="1" spans="1:27">
      <c r="A31" s="15">
        <v>46001</v>
      </c>
      <c r="B31" s="16">
        <v>4303121811816</v>
      </c>
      <c r="C31" s="17" t="s">
        <v>37</v>
      </c>
      <c r="D31" s="20">
        <v>88.31</v>
      </c>
      <c r="E31" s="20">
        <v>91.35</v>
      </c>
      <c r="F31" s="20">
        <v>93.55</v>
      </c>
      <c r="G31" s="20">
        <v>94.34</v>
      </c>
      <c r="H31" s="20">
        <v>92.25</v>
      </c>
      <c r="I31" s="20">
        <v>91.51</v>
      </c>
      <c r="J31" s="20">
        <v>89.55</v>
      </c>
      <c r="K31" s="20">
        <v>90.31</v>
      </c>
      <c r="L31" s="20">
        <v>95.58</v>
      </c>
      <c r="M31" s="20">
        <v>94.33</v>
      </c>
      <c r="N31" s="20">
        <v>92.33</v>
      </c>
      <c r="O31" s="20">
        <v>88.66</v>
      </c>
      <c r="P31" s="20">
        <v>88.31</v>
      </c>
      <c r="Q31" s="20">
        <v>92.45</v>
      </c>
      <c r="R31" s="20">
        <v>93.31</v>
      </c>
      <c r="S31" s="20">
        <v>96.55</v>
      </c>
      <c r="T31" s="20">
        <v>97.31</v>
      </c>
      <c r="U31" s="20">
        <v>98.11</v>
      </c>
      <c r="V31" s="20">
        <v>93.21</v>
      </c>
      <c r="W31" s="20">
        <v>92.01</v>
      </c>
      <c r="X31" s="20">
        <v>92.32</v>
      </c>
      <c r="Y31" s="20">
        <v>91.44</v>
      </c>
      <c r="Z31" s="20">
        <v>90.58</v>
      </c>
      <c r="AA31" s="20">
        <v>89.11</v>
      </c>
    </row>
    <row r="32" s="1" customFormat="1" ht="14.25" spans="1:28">
      <c r="A32" s="15"/>
      <c r="B32" s="16"/>
      <c r="C32" s="17" t="s">
        <v>38</v>
      </c>
      <c r="D32" s="20">
        <v>84.3744</v>
      </c>
      <c r="E32" s="20">
        <v>88.3221</v>
      </c>
      <c r="F32" s="20">
        <v>89.1733</v>
      </c>
      <c r="G32" s="20">
        <v>89.9518</v>
      </c>
      <c r="H32" s="20">
        <v>88.8125</v>
      </c>
      <c r="I32" s="20">
        <v>88.2077</v>
      </c>
      <c r="J32" s="20">
        <v>84.7563</v>
      </c>
      <c r="K32" s="20">
        <v>86.372</v>
      </c>
      <c r="L32" s="20">
        <v>91.7825</v>
      </c>
      <c r="M32" s="20">
        <v>90.3566</v>
      </c>
      <c r="N32" s="20">
        <v>86.6818</v>
      </c>
      <c r="O32" s="20">
        <v>80.1046</v>
      </c>
      <c r="P32" s="20">
        <v>79.6611</v>
      </c>
      <c r="Q32" s="20">
        <v>86.9739</v>
      </c>
      <c r="R32" s="20">
        <v>89.1493</v>
      </c>
      <c r="S32" s="20">
        <v>91.3928</v>
      </c>
      <c r="T32" s="20">
        <v>93.6848</v>
      </c>
      <c r="U32" s="20">
        <v>90.3461</v>
      </c>
      <c r="V32" s="20">
        <v>84.5504</v>
      </c>
      <c r="W32" s="20">
        <v>80.7875</v>
      </c>
      <c r="X32" s="20">
        <v>84.7986</v>
      </c>
      <c r="Y32" s="20">
        <v>84.4923</v>
      </c>
      <c r="Z32" s="20">
        <v>84.4976</v>
      </c>
      <c r="AA32" s="20">
        <v>79.8356</v>
      </c>
      <c r="AB32" s="21">
        <f>MAX(K32:AA32)</f>
        <v>93.6848</v>
      </c>
    </row>
    <row r="33" s="1" customFormat="1" ht="14.25" hidden="1" spans="1:27">
      <c r="A33" s="15"/>
      <c r="B33" s="16"/>
      <c r="C33" s="17" t="s">
        <v>39</v>
      </c>
      <c r="D33" s="20">
        <f t="shared" ref="D33:AA33" si="9">D31-D32</f>
        <v>3.93560000000001</v>
      </c>
      <c r="E33" s="20">
        <f t="shared" si="9"/>
        <v>3.02789999999999</v>
      </c>
      <c r="F33" s="20">
        <f t="shared" si="9"/>
        <v>4.3767</v>
      </c>
      <c r="G33" s="20">
        <f t="shared" si="9"/>
        <v>4.3882</v>
      </c>
      <c r="H33" s="20">
        <f t="shared" si="9"/>
        <v>3.4375</v>
      </c>
      <c r="I33" s="20">
        <f t="shared" si="9"/>
        <v>3.3023</v>
      </c>
      <c r="J33" s="20">
        <f t="shared" si="9"/>
        <v>4.7937</v>
      </c>
      <c r="K33" s="20">
        <f t="shared" si="9"/>
        <v>3.938</v>
      </c>
      <c r="L33" s="20">
        <f t="shared" si="9"/>
        <v>3.7975</v>
      </c>
      <c r="M33" s="20">
        <f t="shared" si="9"/>
        <v>3.9734</v>
      </c>
      <c r="N33" s="20">
        <f t="shared" si="9"/>
        <v>5.6482</v>
      </c>
      <c r="O33" s="20">
        <f t="shared" si="9"/>
        <v>8.55539999999999</v>
      </c>
      <c r="P33" s="20">
        <f t="shared" si="9"/>
        <v>8.6489</v>
      </c>
      <c r="Q33" s="20">
        <f t="shared" si="9"/>
        <v>5.4761</v>
      </c>
      <c r="R33" s="20">
        <f t="shared" si="9"/>
        <v>4.16070000000001</v>
      </c>
      <c r="S33" s="20">
        <f t="shared" si="9"/>
        <v>5.1572</v>
      </c>
      <c r="T33" s="20">
        <f t="shared" si="9"/>
        <v>3.62520000000001</v>
      </c>
      <c r="U33" s="20">
        <f t="shared" si="9"/>
        <v>7.76389999999999</v>
      </c>
      <c r="V33" s="20">
        <f t="shared" si="9"/>
        <v>8.6596</v>
      </c>
      <c r="W33" s="20">
        <f t="shared" si="9"/>
        <v>11.2225</v>
      </c>
      <c r="X33" s="20">
        <f t="shared" si="9"/>
        <v>7.5214</v>
      </c>
      <c r="Y33" s="20">
        <f t="shared" si="9"/>
        <v>6.9477</v>
      </c>
      <c r="Z33" s="20">
        <f t="shared" si="9"/>
        <v>6.08239999999999</v>
      </c>
      <c r="AA33" s="20">
        <f t="shared" si="9"/>
        <v>9.2744</v>
      </c>
    </row>
    <row r="34" s="1" customFormat="1" ht="20" hidden="1" customHeight="1" spans="1:27">
      <c r="A34" s="15">
        <v>46002</v>
      </c>
      <c r="B34" s="16">
        <v>4303121811816</v>
      </c>
      <c r="C34" s="17" t="s">
        <v>37</v>
      </c>
      <c r="D34" s="19">
        <v>88.25</v>
      </c>
      <c r="E34" s="19">
        <v>91.22</v>
      </c>
      <c r="F34" s="19">
        <v>93.26</v>
      </c>
      <c r="G34" s="19">
        <v>94.61</v>
      </c>
      <c r="H34" s="19">
        <v>92.31</v>
      </c>
      <c r="I34" s="19">
        <v>91.44</v>
      </c>
      <c r="J34" s="19">
        <v>89.45</v>
      </c>
      <c r="K34" s="19">
        <v>90.44</v>
      </c>
      <c r="L34" s="19">
        <v>95.56</v>
      </c>
      <c r="M34" s="19">
        <v>94.21</v>
      </c>
      <c r="N34" s="19">
        <v>92.41</v>
      </c>
      <c r="O34" s="19">
        <v>88.58</v>
      </c>
      <c r="P34" s="19">
        <v>88.22</v>
      </c>
      <c r="Q34" s="19">
        <v>92.39</v>
      </c>
      <c r="R34" s="19">
        <v>93.28</v>
      </c>
      <c r="S34" s="19">
        <v>96.44</v>
      </c>
      <c r="T34" s="19">
        <v>97.25</v>
      </c>
      <c r="U34" s="19">
        <v>98.08</v>
      </c>
      <c r="V34" s="19">
        <v>93.11</v>
      </c>
      <c r="W34" s="19">
        <v>91.58</v>
      </c>
      <c r="X34" s="19">
        <v>92.28</v>
      </c>
      <c r="Y34" s="19">
        <v>91.22</v>
      </c>
      <c r="Z34" s="19">
        <v>90.48</v>
      </c>
      <c r="AA34" s="19">
        <v>89.22</v>
      </c>
    </row>
    <row r="35" s="1" customFormat="1" ht="14.25" spans="1:28">
      <c r="A35" s="15"/>
      <c r="B35" s="16"/>
      <c r="C35" s="17" t="s">
        <v>38</v>
      </c>
      <c r="D35" s="19">
        <v>79.9146</v>
      </c>
      <c r="E35" s="19">
        <v>83.0755</v>
      </c>
      <c r="F35" s="19">
        <v>92.5163</v>
      </c>
      <c r="G35" s="19">
        <v>82.6443</v>
      </c>
      <c r="H35" s="19">
        <v>83.7742</v>
      </c>
      <c r="I35" s="19">
        <v>83.6546</v>
      </c>
      <c r="J35" s="19">
        <v>86.9547</v>
      </c>
      <c r="K35" s="19">
        <v>81.3578</v>
      </c>
      <c r="L35" s="19">
        <v>87.6821</v>
      </c>
      <c r="M35" s="19">
        <v>84.698</v>
      </c>
      <c r="N35" s="19">
        <v>83.3587</v>
      </c>
      <c r="O35" s="19">
        <v>74.8515</v>
      </c>
      <c r="P35" s="19">
        <v>74.4656</v>
      </c>
      <c r="Q35" s="19">
        <v>83.0414</v>
      </c>
      <c r="R35" s="19">
        <v>86.2136</v>
      </c>
      <c r="S35" s="19">
        <v>87.6392</v>
      </c>
      <c r="T35" s="19">
        <v>89.0523</v>
      </c>
      <c r="U35" s="19">
        <v>88.1866</v>
      </c>
      <c r="V35" s="19">
        <v>82.7323</v>
      </c>
      <c r="W35" s="19">
        <v>81.1832</v>
      </c>
      <c r="X35" s="19">
        <v>86.409</v>
      </c>
      <c r="Y35" s="19">
        <v>85.4709</v>
      </c>
      <c r="Z35" s="19">
        <v>84.3867</v>
      </c>
      <c r="AA35" s="19">
        <v>80.0015</v>
      </c>
      <c r="AB35" s="21">
        <f>MAX(K35:AA35)</f>
        <v>89.0523</v>
      </c>
    </row>
    <row r="36" s="1" customFormat="1" ht="14.25" hidden="1" spans="1:27">
      <c r="A36" s="15"/>
      <c r="B36" s="16"/>
      <c r="C36" s="17" t="s">
        <v>39</v>
      </c>
      <c r="D36" s="19">
        <f t="shared" ref="D36:AA36" si="10">D34-D35</f>
        <v>8.33540000000001</v>
      </c>
      <c r="E36" s="19">
        <f t="shared" si="10"/>
        <v>8.14449999999999</v>
      </c>
      <c r="F36" s="19">
        <f t="shared" si="10"/>
        <v>0.743700000000004</v>
      </c>
      <c r="G36" s="19">
        <f t="shared" si="10"/>
        <v>11.9657</v>
      </c>
      <c r="H36" s="19">
        <f t="shared" si="10"/>
        <v>8.53580000000001</v>
      </c>
      <c r="I36" s="19">
        <f t="shared" si="10"/>
        <v>7.7854</v>
      </c>
      <c r="J36" s="19">
        <f t="shared" si="10"/>
        <v>2.4953</v>
      </c>
      <c r="K36" s="19">
        <f t="shared" si="10"/>
        <v>9.0822</v>
      </c>
      <c r="L36" s="19">
        <f t="shared" si="10"/>
        <v>7.8779</v>
      </c>
      <c r="M36" s="19">
        <f t="shared" si="10"/>
        <v>9.512</v>
      </c>
      <c r="N36" s="19">
        <f t="shared" si="10"/>
        <v>9.0513</v>
      </c>
      <c r="O36" s="19">
        <f t="shared" si="10"/>
        <v>13.7285</v>
      </c>
      <c r="P36" s="19">
        <f t="shared" si="10"/>
        <v>13.7544</v>
      </c>
      <c r="Q36" s="19">
        <f t="shared" si="10"/>
        <v>9.3486</v>
      </c>
      <c r="R36" s="19">
        <f t="shared" si="10"/>
        <v>7.0664</v>
      </c>
      <c r="S36" s="19">
        <f t="shared" si="10"/>
        <v>8.8008</v>
      </c>
      <c r="T36" s="19">
        <f t="shared" si="10"/>
        <v>8.1977</v>
      </c>
      <c r="U36" s="19">
        <f t="shared" si="10"/>
        <v>9.8934</v>
      </c>
      <c r="V36" s="19">
        <f t="shared" si="10"/>
        <v>10.3777</v>
      </c>
      <c r="W36" s="19">
        <f t="shared" si="10"/>
        <v>10.3968</v>
      </c>
      <c r="X36" s="19">
        <f t="shared" si="10"/>
        <v>5.871</v>
      </c>
      <c r="Y36" s="19">
        <f t="shared" si="10"/>
        <v>5.7491</v>
      </c>
      <c r="Z36" s="19">
        <f t="shared" si="10"/>
        <v>6.0933</v>
      </c>
      <c r="AA36" s="19">
        <f t="shared" si="10"/>
        <v>9.21850000000001</v>
      </c>
    </row>
    <row r="37" s="1" customFormat="1" ht="20" hidden="1" customHeight="1" spans="1:27">
      <c r="A37" s="15">
        <v>46003</v>
      </c>
      <c r="B37" s="16">
        <v>4303121811816</v>
      </c>
      <c r="C37" s="17" t="s">
        <v>37</v>
      </c>
      <c r="D37" s="20">
        <v>88.31</v>
      </c>
      <c r="E37" s="20">
        <v>91.35</v>
      </c>
      <c r="F37" s="20">
        <v>93.18</v>
      </c>
      <c r="G37" s="20">
        <v>94.55</v>
      </c>
      <c r="H37" s="20">
        <v>92.33</v>
      </c>
      <c r="I37" s="20">
        <v>91.51</v>
      </c>
      <c r="J37" s="20">
        <v>89.61</v>
      </c>
      <c r="K37" s="20">
        <v>90.51</v>
      </c>
      <c r="L37" s="20">
        <v>95.66</v>
      </c>
      <c r="M37" s="20">
        <v>94.33</v>
      </c>
      <c r="N37" s="20">
        <v>92.45</v>
      </c>
      <c r="O37" s="20">
        <v>88.61</v>
      </c>
      <c r="P37" s="20">
        <v>88.33</v>
      </c>
      <c r="Q37" s="20">
        <v>92.18</v>
      </c>
      <c r="R37" s="20">
        <v>93.11</v>
      </c>
      <c r="S37" s="20">
        <v>96.36</v>
      </c>
      <c r="T37" s="20">
        <v>97.35</v>
      </c>
      <c r="U37" s="20">
        <v>98.11</v>
      </c>
      <c r="V37" s="20">
        <v>93.31</v>
      </c>
      <c r="W37" s="20">
        <v>91.28</v>
      </c>
      <c r="X37" s="20">
        <v>92.31</v>
      </c>
      <c r="Y37" s="20">
        <v>91.28</v>
      </c>
      <c r="Z37" s="20">
        <v>90.44</v>
      </c>
      <c r="AA37" s="20">
        <v>89.19</v>
      </c>
    </row>
    <row r="38" s="1" customFormat="1" ht="14.25" spans="1:28">
      <c r="A38" s="15"/>
      <c r="B38" s="16"/>
      <c r="C38" s="17" t="s">
        <v>38</v>
      </c>
      <c r="D38" s="20">
        <v>81.18</v>
      </c>
      <c r="E38" s="20">
        <v>84.226</v>
      </c>
      <c r="F38" s="20">
        <v>84.531</v>
      </c>
      <c r="G38" s="20">
        <v>84.7176</v>
      </c>
      <c r="H38" s="20">
        <v>84.1456</v>
      </c>
      <c r="I38" s="20">
        <v>83.9198</v>
      </c>
      <c r="J38" s="20">
        <v>82.1458</v>
      </c>
      <c r="K38" s="20">
        <v>82.5845</v>
      </c>
      <c r="L38" s="20">
        <v>88.4969</v>
      </c>
      <c r="M38" s="20">
        <v>89.5025</v>
      </c>
      <c r="N38" s="20">
        <v>88.3426</v>
      </c>
      <c r="O38" s="20">
        <v>83.5514</v>
      </c>
      <c r="P38" s="20">
        <v>83.6405</v>
      </c>
      <c r="Q38" s="20">
        <v>88.6254</v>
      </c>
      <c r="R38" s="20">
        <v>90.1645</v>
      </c>
      <c r="S38" s="20">
        <v>90.5545</v>
      </c>
      <c r="T38" s="20">
        <v>91.6872</v>
      </c>
      <c r="U38" s="20">
        <v>87.7518</v>
      </c>
      <c r="V38" s="20">
        <v>85.1945</v>
      </c>
      <c r="W38" s="20">
        <v>82.8626</v>
      </c>
      <c r="X38" s="20">
        <v>86.3878</v>
      </c>
      <c r="Y38" s="20">
        <v>85.9267</v>
      </c>
      <c r="Z38" s="20">
        <v>85.7982</v>
      </c>
      <c r="AA38" s="20">
        <v>80.7611</v>
      </c>
      <c r="AB38" s="21">
        <f>MAX(K38:AA38)</f>
        <v>91.6872</v>
      </c>
    </row>
    <row r="39" s="1" customFormat="1" ht="14.25" hidden="1" spans="1:27">
      <c r="A39" s="15"/>
      <c r="B39" s="16"/>
      <c r="C39" s="17" t="s">
        <v>39</v>
      </c>
      <c r="D39" s="20">
        <f t="shared" ref="D39:AA39" si="11">D37-D38</f>
        <v>7.13</v>
      </c>
      <c r="E39" s="20">
        <f t="shared" si="11"/>
        <v>7.124</v>
      </c>
      <c r="F39" s="20">
        <f t="shared" si="11"/>
        <v>8.649</v>
      </c>
      <c r="G39" s="20">
        <f t="shared" si="11"/>
        <v>9.83239999999999</v>
      </c>
      <c r="H39" s="20">
        <f t="shared" si="11"/>
        <v>8.1844</v>
      </c>
      <c r="I39" s="20">
        <f t="shared" si="11"/>
        <v>7.59020000000001</v>
      </c>
      <c r="J39" s="20">
        <f t="shared" si="11"/>
        <v>7.46420000000001</v>
      </c>
      <c r="K39" s="20">
        <f t="shared" si="11"/>
        <v>7.9255</v>
      </c>
      <c r="L39" s="20">
        <f t="shared" si="11"/>
        <v>7.1631</v>
      </c>
      <c r="M39" s="20">
        <f t="shared" si="11"/>
        <v>4.8275</v>
      </c>
      <c r="N39" s="20">
        <f t="shared" si="11"/>
        <v>4.1074</v>
      </c>
      <c r="O39" s="20">
        <f t="shared" si="11"/>
        <v>5.0586</v>
      </c>
      <c r="P39" s="20">
        <f t="shared" si="11"/>
        <v>4.6895</v>
      </c>
      <c r="Q39" s="20">
        <f t="shared" si="11"/>
        <v>3.55460000000001</v>
      </c>
      <c r="R39" s="20">
        <f t="shared" si="11"/>
        <v>2.9455</v>
      </c>
      <c r="S39" s="20">
        <f t="shared" si="11"/>
        <v>5.80549999999999</v>
      </c>
      <c r="T39" s="20">
        <f t="shared" si="11"/>
        <v>5.66279999999999</v>
      </c>
      <c r="U39" s="20">
        <f t="shared" si="11"/>
        <v>10.3582</v>
      </c>
      <c r="V39" s="20">
        <f t="shared" si="11"/>
        <v>8.1155</v>
      </c>
      <c r="W39" s="20">
        <f t="shared" si="11"/>
        <v>8.4174</v>
      </c>
      <c r="X39" s="20">
        <f t="shared" si="11"/>
        <v>5.9222</v>
      </c>
      <c r="Y39" s="20">
        <f t="shared" si="11"/>
        <v>5.3533</v>
      </c>
      <c r="Z39" s="20">
        <f t="shared" si="11"/>
        <v>4.6418</v>
      </c>
      <c r="AA39" s="20">
        <f t="shared" si="11"/>
        <v>8.4289</v>
      </c>
    </row>
    <row r="40" s="1" customFormat="1" ht="20" hidden="1" customHeight="1" spans="1:27">
      <c r="A40" s="15">
        <v>46004</v>
      </c>
      <c r="B40" s="16">
        <v>4303121811816</v>
      </c>
      <c r="C40" s="17" t="s">
        <v>37</v>
      </c>
      <c r="D40" s="19">
        <v>88.28</v>
      </c>
      <c r="E40" s="19">
        <v>91.28</v>
      </c>
      <c r="F40" s="19">
        <v>93.22</v>
      </c>
      <c r="G40" s="19">
        <v>94.28</v>
      </c>
      <c r="H40" s="19">
        <v>92.18</v>
      </c>
      <c r="I40" s="19">
        <v>91.55</v>
      </c>
      <c r="J40" s="19">
        <v>89.54</v>
      </c>
      <c r="K40" s="19">
        <v>90.41</v>
      </c>
      <c r="L40" s="19">
        <v>95.76</v>
      </c>
      <c r="M40" s="19">
        <v>94.18</v>
      </c>
      <c r="N40" s="19">
        <v>92.55</v>
      </c>
      <c r="O40" s="19">
        <v>88.54</v>
      </c>
      <c r="P40" s="19">
        <v>88.14</v>
      </c>
      <c r="Q40" s="19">
        <v>92.18</v>
      </c>
      <c r="R40" s="19">
        <v>93.21</v>
      </c>
      <c r="S40" s="19">
        <v>96.21</v>
      </c>
      <c r="T40" s="19">
        <v>97.51</v>
      </c>
      <c r="U40" s="19">
        <v>98.27</v>
      </c>
      <c r="V40" s="19">
        <v>93.22</v>
      </c>
      <c r="W40" s="19">
        <v>91.29</v>
      </c>
      <c r="X40" s="19">
        <v>92.18</v>
      </c>
      <c r="Y40" s="19">
        <v>91.11</v>
      </c>
      <c r="Z40" s="19">
        <v>90.51</v>
      </c>
      <c r="AA40" s="19">
        <v>89.21</v>
      </c>
    </row>
    <row r="41" s="1" customFormat="1" ht="14.25" spans="1:28">
      <c r="A41" s="15"/>
      <c r="B41" s="16"/>
      <c r="C41" s="17" t="s">
        <v>38</v>
      </c>
      <c r="D41" s="19">
        <v>80.7594</v>
      </c>
      <c r="E41" s="19">
        <v>84.2741</v>
      </c>
      <c r="F41" s="19">
        <v>84.9834</v>
      </c>
      <c r="G41" s="19">
        <v>84.6331</v>
      </c>
      <c r="H41" s="19">
        <v>82.6091</v>
      </c>
      <c r="I41" s="19">
        <v>82.9154</v>
      </c>
      <c r="J41" s="19">
        <v>78.9694</v>
      </c>
      <c r="K41" s="19">
        <v>84.3938</v>
      </c>
      <c r="L41" s="19">
        <v>91.4654</v>
      </c>
      <c r="M41" s="19">
        <v>88.1126</v>
      </c>
      <c r="N41" s="19">
        <v>82.466</v>
      </c>
      <c r="O41" s="19">
        <v>76.7166</v>
      </c>
      <c r="P41" s="19">
        <v>74.6944</v>
      </c>
      <c r="Q41" s="19">
        <v>82.4947</v>
      </c>
      <c r="R41" s="19">
        <v>85.3811</v>
      </c>
      <c r="S41" s="19">
        <v>87.164</v>
      </c>
      <c r="T41" s="19">
        <v>88.6688</v>
      </c>
      <c r="U41" s="19">
        <v>88.2345</v>
      </c>
      <c r="V41" s="19">
        <v>85.1945</v>
      </c>
      <c r="W41" s="19">
        <v>82.8626</v>
      </c>
      <c r="X41" s="19">
        <v>86.3878</v>
      </c>
      <c r="Y41" s="19">
        <v>85.9267</v>
      </c>
      <c r="Z41" s="19">
        <v>85.7982</v>
      </c>
      <c r="AA41" s="19">
        <v>80.7611</v>
      </c>
      <c r="AB41" s="21">
        <f>MAX(K41:AA41)</f>
        <v>91.4654</v>
      </c>
    </row>
    <row r="42" s="1" customFormat="1" ht="14.25" hidden="1" spans="1:27">
      <c r="A42" s="15"/>
      <c r="B42" s="16"/>
      <c r="C42" s="17" t="s">
        <v>39</v>
      </c>
      <c r="D42" s="19">
        <f t="shared" ref="D42:AA42" si="12">D40-D41</f>
        <v>7.5206</v>
      </c>
      <c r="E42" s="19">
        <f t="shared" si="12"/>
        <v>7.0059</v>
      </c>
      <c r="F42" s="19">
        <f t="shared" si="12"/>
        <v>8.2366</v>
      </c>
      <c r="G42" s="19">
        <f t="shared" si="12"/>
        <v>9.6469</v>
      </c>
      <c r="H42" s="19">
        <f t="shared" si="12"/>
        <v>9.57090000000001</v>
      </c>
      <c r="I42" s="19">
        <f t="shared" si="12"/>
        <v>8.63459999999999</v>
      </c>
      <c r="J42" s="19">
        <f t="shared" si="12"/>
        <v>10.5706</v>
      </c>
      <c r="K42" s="19">
        <f t="shared" si="12"/>
        <v>6.0162</v>
      </c>
      <c r="L42" s="19">
        <f t="shared" si="12"/>
        <v>4.2946</v>
      </c>
      <c r="M42" s="19">
        <f t="shared" si="12"/>
        <v>6.06740000000001</v>
      </c>
      <c r="N42" s="19">
        <f t="shared" si="12"/>
        <v>10.084</v>
      </c>
      <c r="O42" s="19">
        <f t="shared" si="12"/>
        <v>11.8234</v>
      </c>
      <c r="P42" s="19">
        <f t="shared" si="12"/>
        <v>13.4456</v>
      </c>
      <c r="Q42" s="19">
        <f t="shared" si="12"/>
        <v>9.68530000000001</v>
      </c>
      <c r="R42" s="19">
        <f t="shared" si="12"/>
        <v>7.82889999999999</v>
      </c>
      <c r="S42" s="19">
        <f t="shared" si="12"/>
        <v>9.04599999999999</v>
      </c>
      <c r="T42" s="19">
        <f t="shared" si="12"/>
        <v>8.8412</v>
      </c>
      <c r="U42" s="19">
        <f t="shared" si="12"/>
        <v>10.0355</v>
      </c>
      <c r="V42" s="19">
        <f t="shared" si="12"/>
        <v>8.02549999999999</v>
      </c>
      <c r="W42" s="19">
        <f t="shared" si="12"/>
        <v>8.42740000000001</v>
      </c>
      <c r="X42" s="19">
        <f t="shared" si="12"/>
        <v>5.79220000000001</v>
      </c>
      <c r="Y42" s="19">
        <f t="shared" si="12"/>
        <v>5.1833</v>
      </c>
      <c r="Z42" s="19">
        <f t="shared" si="12"/>
        <v>4.71180000000001</v>
      </c>
      <c r="AA42" s="19">
        <f t="shared" si="12"/>
        <v>8.44889999999999</v>
      </c>
    </row>
    <row r="43" s="1" customFormat="1" ht="20" hidden="1" customHeight="1" spans="1:27">
      <c r="A43" s="15">
        <v>46005</v>
      </c>
      <c r="B43" s="16">
        <v>4303121811816</v>
      </c>
      <c r="C43" s="17" t="s">
        <v>37</v>
      </c>
      <c r="D43" s="20">
        <v>86.11</v>
      </c>
      <c r="E43" s="20">
        <v>90.28</v>
      </c>
      <c r="F43" s="20">
        <v>89.66</v>
      </c>
      <c r="G43" s="20">
        <v>88.41</v>
      </c>
      <c r="H43" s="20">
        <v>87.61</v>
      </c>
      <c r="I43" s="20">
        <v>84.33</v>
      </c>
      <c r="J43" s="20">
        <v>77.58</v>
      </c>
      <c r="K43" s="20">
        <v>73.11</v>
      </c>
      <c r="L43" s="20">
        <v>72.99</v>
      </c>
      <c r="M43" s="20">
        <v>73.51</v>
      </c>
      <c r="N43" s="20">
        <v>69.52</v>
      </c>
      <c r="O43" s="20">
        <v>67.84</v>
      </c>
      <c r="P43" s="20">
        <v>64.33</v>
      </c>
      <c r="Q43" s="20">
        <v>71.81</v>
      </c>
      <c r="R43" s="20">
        <v>72.59</v>
      </c>
      <c r="S43" s="20">
        <v>71.22</v>
      </c>
      <c r="T43" s="20">
        <v>73.41</v>
      </c>
      <c r="U43" s="20">
        <v>71.54</v>
      </c>
      <c r="V43" s="20">
        <v>68.11</v>
      </c>
      <c r="W43" s="20">
        <v>68.21</v>
      </c>
      <c r="X43" s="20">
        <v>73.41</v>
      </c>
      <c r="Y43" s="20">
        <v>72.88</v>
      </c>
      <c r="Z43" s="20">
        <v>72.53</v>
      </c>
      <c r="AA43" s="20">
        <v>70.22</v>
      </c>
    </row>
    <row r="44" s="1" customFormat="1" ht="14.25" spans="1:28">
      <c r="A44" s="15"/>
      <c r="B44" s="16"/>
      <c r="C44" s="17" t="s">
        <v>38</v>
      </c>
      <c r="D44" s="20">
        <v>80.7594</v>
      </c>
      <c r="E44" s="20">
        <v>84.2741</v>
      </c>
      <c r="F44" s="20">
        <v>84.9834</v>
      </c>
      <c r="G44" s="20">
        <v>84.6331</v>
      </c>
      <c r="H44" s="20">
        <v>82.6091</v>
      </c>
      <c r="I44" s="20">
        <v>82.9154</v>
      </c>
      <c r="J44" s="20">
        <v>78.9694</v>
      </c>
      <c r="K44" s="20">
        <v>71.0625</v>
      </c>
      <c r="L44" s="20">
        <v>70.2398</v>
      </c>
      <c r="M44" s="20">
        <v>68.8406</v>
      </c>
      <c r="N44" s="20">
        <v>65.6128</v>
      </c>
      <c r="O44" s="20">
        <v>62.368</v>
      </c>
      <c r="P44" s="20">
        <v>61.1869</v>
      </c>
      <c r="Q44" s="20">
        <v>64.4215</v>
      </c>
      <c r="R44" s="20">
        <v>67.8428</v>
      </c>
      <c r="S44" s="20">
        <v>82.6105</v>
      </c>
      <c r="T44" s="20">
        <v>73.4501</v>
      </c>
      <c r="U44" s="20">
        <v>72.8094</v>
      </c>
      <c r="V44" s="20">
        <v>70.4758</v>
      </c>
      <c r="W44" s="20">
        <v>69.1451</v>
      </c>
      <c r="X44" s="20">
        <v>73.7282</v>
      </c>
      <c r="Y44" s="20">
        <v>73.4747</v>
      </c>
      <c r="Z44" s="20">
        <v>73.1632</v>
      </c>
      <c r="AA44" s="20">
        <v>72.1899</v>
      </c>
      <c r="AB44" s="21">
        <f>MAX(K44:AA44)</f>
        <v>82.6105</v>
      </c>
    </row>
    <row r="45" s="1" customFormat="1" ht="14.25" hidden="1" spans="1:27">
      <c r="A45" s="15"/>
      <c r="B45" s="16"/>
      <c r="C45" s="17" t="s">
        <v>39</v>
      </c>
      <c r="D45" s="20">
        <f t="shared" ref="D45:AA45" si="13">D43-D44</f>
        <v>5.3506</v>
      </c>
      <c r="E45" s="20">
        <f t="shared" si="13"/>
        <v>6.0059</v>
      </c>
      <c r="F45" s="20">
        <f t="shared" si="13"/>
        <v>4.67659999999999</v>
      </c>
      <c r="G45" s="20">
        <f t="shared" si="13"/>
        <v>3.7769</v>
      </c>
      <c r="H45" s="20">
        <f t="shared" si="13"/>
        <v>5.0009</v>
      </c>
      <c r="I45" s="20">
        <f t="shared" si="13"/>
        <v>1.41459999999999</v>
      </c>
      <c r="J45" s="20">
        <f t="shared" si="13"/>
        <v>-1.38939999999999</v>
      </c>
      <c r="K45" s="20">
        <f t="shared" si="13"/>
        <v>2.0475</v>
      </c>
      <c r="L45" s="20">
        <f t="shared" si="13"/>
        <v>2.75019999999999</v>
      </c>
      <c r="M45" s="20">
        <f t="shared" si="13"/>
        <v>4.66940000000001</v>
      </c>
      <c r="N45" s="20">
        <f t="shared" si="13"/>
        <v>3.9072</v>
      </c>
      <c r="O45" s="20">
        <f t="shared" si="13"/>
        <v>5.472</v>
      </c>
      <c r="P45" s="20">
        <f t="shared" si="13"/>
        <v>3.1431</v>
      </c>
      <c r="Q45" s="20">
        <f t="shared" si="13"/>
        <v>7.38850000000001</v>
      </c>
      <c r="R45" s="20">
        <f t="shared" si="13"/>
        <v>4.74720000000001</v>
      </c>
      <c r="S45" s="20">
        <f t="shared" si="13"/>
        <v>-11.3905</v>
      </c>
      <c r="T45" s="20">
        <f t="shared" si="13"/>
        <v>-0.0401000000000096</v>
      </c>
      <c r="U45" s="20">
        <f t="shared" si="13"/>
        <v>-1.26939999999999</v>
      </c>
      <c r="V45" s="20">
        <f t="shared" si="13"/>
        <v>-2.36580000000001</v>
      </c>
      <c r="W45" s="20">
        <f t="shared" si="13"/>
        <v>-0.935100000000006</v>
      </c>
      <c r="X45" s="20">
        <f t="shared" si="13"/>
        <v>-0.318200000000004</v>
      </c>
      <c r="Y45" s="20">
        <f t="shared" si="13"/>
        <v>-0.594700000000003</v>
      </c>
      <c r="Z45" s="20">
        <f t="shared" si="13"/>
        <v>-0.633200000000002</v>
      </c>
      <c r="AA45" s="20">
        <f t="shared" si="13"/>
        <v>-1.9699</v>
      </c>
    </row>
    <row r="46" s="1" customFormat="1" ht="20" hidden="1" customHeight="1" spans="1:27">
      <c r="A46" s="15">
        <v>46006</v>
      </c>
      <c r="B46" s="16">
        <v>4303121811816</v>
      </c>
      <c r="C46" s="17" t="s">
        <v>37</v>
      </c>
      <c r="D46" s="19">
        <v>69.28</v>
      </c>
      <c r="E46" s="19">
        <v>73.22</v>
      </c>
      <c r="F46" s="19">
        <v>73.11</v>
      </c>
      <c r="G46" s="19">
        <v>73.34</v>
      </c>
      <c r="H46" s="19">
        <v>76.51</v>
      </c>
      <c r="I46" s="19">
        <v>76.28</v>
      </c>
      <c r="J46" s="19">
        <v>76.45</v>
      </c>
      <c r="K46" s="19">
        <v>82.88</v>
      </c>
      <c r="L46" s="19">
        <v>93.11</v>
      </c>
      <c r="M46" s="19">
        <v>90.22</v>
      </c>
      <c r="N46" s="19">
        <v>88.61</v>
      </c>
      <c r="O46" s="19">
        <v>82.61</v>
      </c>
      <c r="P46" s="19">
        <v>84.81</v>
      </c>
      <c r="Q46" s="19">
        <v>87.55</v>
      </c>
      <c r="R46" s="19">
        <v>91.33</v>
      </c>
      <c r="S46" s="19">
        <v>92.89</v>
      </c>
      <c r="T46" s="19">
        <v>93.84</v>
      </c>
      <c r="U46" s="19">
        <v>93.33</v>
      </c>
      <c r="V46" s="19">
        <v>90.58</v>
      </c>
      <c r="W46" s="19">
        <v>87.66</v>
      </c>
      <c r="X46" s="19">
        <v>91.15</v>
      </c>
      <c r="Y46" s="19">
        <v>87.87</v>
      </c>
      <c r="Z46" s="19">
        <v>89.33</v>
      </c>
      <c r="AA46" s="19">
        <v>85.11</v>
      </c>
    </row>
    <row r="47" s="1" customFormat="1" ht="14.25" spans="1:28">
      <c r="A47" s="15"/>
      <c r="B47" s="16"/>
      <c r="C47" s="17" t="s">
        <v>38</v>
      </c>
      <c r="D47" s="19">
        <v>70.7027</v>
      </c>
      <c r="E47" s="19">
        <v>74.5782</v>
      </c>
      <c r="F47" s="19">
        <v>74.624</v>
      </c>
      <c r="G47" s="19">
        <v>74.6451</v>
      </c>
      <c r="H47" s="19">
        <v>75.568</v>
      </c>
      <c r="I47" s="19">
        <v>76.3171</v>
      </c>
      <c r="J47" s="19">
        <v>76.6181</v>
      </c>
      <c r="K47" s="19">
        <v>79.6158</v>
      </c>
      <c r="L47" s="19">
        <v>92.8078</v>
      </c>
      <c r="M47" s="19">
        <v>92.3366</v>
      </c>
      <c r="N47" s="19">
        <v>91.8896</v>
      </c>
      <c r="O47" s="19">
        <v>82.1569</v>
      </c>
      <c r="P47" s="19">
        <v>88.5158</v>
      </c>
      <c r="Q47" s="19">
        <v>93.8203</v>
      </c>
      <c r="R47" s="19">
        <v>93.2545</v>
      </c>
      <c r="S47" s="19">
        <v>93.3214</v>
      </c>
      <c r="T47" s="19">
        <v>95.0805</v>
      </c>
      <c r="U47" s="19">
        <v>92.6605</v>
      </c>
      <c r="V47" s="19">
        <v>81.256</v>
      </c>
      <c r="W47" s="19">
        <v>87.8275</v>
      </c>
      <c r="X47" s="19">
        <v>92.129</v>
      </c>
      <c r="Y47" s="19">
        <v>89.9219</v>
      </c>
      <c r="Z47" s="19">
        <v>91.1381</v>
      </c>
      <c r="AA47" s="19">
        <v>86.1344</v>
      </c>
      <c r="AB47" s="21">
        <f>MAX(K47:AA47)</f>
        <v>95.0805</v>
      </c>
    </row>
    <row r="48" s="1" customFormat="1" ht="14.25" hidden="1" spans="1:27">
      <c r="A48" s="15"/>
      <c r="B48" s="16"/>
      <c r="C48" s="17" t="s">
        <v>39</v>
      </c>
      <c r="D48" s="19">
        <f t="shared" ref="D48:AA48" si="14">D46-D47</f>
        <v>-1.42269999999999</v>
      </c>
      <c r="E48" s="19">
        <f t="shared" si="14"/>
        <v>-1.3582</v>
      </c>
      <c r="F48" s="19">
        <f t="shared" si="14"/>
        <v>-1.514</v>
      </c>
      <c r="G48" s="19">
        <f t="shared" si="14"/>
        <v>-1.3051</v>
      </c>
      <c r="H48" s="19">
        <f t="shared" si="14"/>
        <v>0.942000000000007</v>
      </c>
      <c r="I48" s="19">
        <f t="shared" si="14"/>
        <v>-0.0370999999999952</v>
      </c>
      <c r="J48" s="19">
        <f t="shared" si="14"/>
        <v>-0.168099999999995</v>
      </c>
      <c r="K48" s="19">
        <f t="shared" si="14"/>
        <v>3.2642</v>
      </c>
      <c r="L48" s="19">
        <f t="shared" si="14"/>
        <v>0.302199999999999</v>
      </c>
      <c r="M48" s="19">
        <f t="shared" si="14"/>
        <v>-2.11660000000001</v>
      </c>
      <c r="N48" s="19">
        <f t="shared" si="14"/>
        <v>-3.2796</v>
      </c>
      <c r="O48" s="19">
        <f t="shared" si="14"/>
        <v>0.453100000000006</v>
      </c>
      <c r="P48" s="19">
        <f t="shared" si="14"/>
        <v>-3.7058</v>
      </c>
      <c r="Q48" s="19">
        <f t="shared" si="14"/>
        <v>-6.27030000000001</v>
      </c>
      <c r="R48" s="19">
        <f t="shared" si="14"/>
        <v>-1.92449999999999</v>
      </c>
      <c r="S48" s="19">
        <f t="shared" si="14"/>
        <v>-0.431399999999996</v>
      </c>
      <c r="T48" s="19">
        <f t="shared" si="14"/>
        <v>-1.2405</v>
      </c>
      <c r="U48" s="19">
        <f t="shared" si="14"/>
        <v>0.669499999999999</v>
      </c>
      <c r="V48" s="19">
        <f t="shared" si="14"/>
        <v>9.324</v>
      </c>
      <c r="W48" s="19">
        <f t="shared" si="14"/>
        <v>-0.167500000000004</v>
      </c>
      <c r="X48" s="19">
        <f t="shared" si="14"/>
        <v>-0.978999999999999</v>
      </c>
      <c r="Y48" s="19">
        <f t="shared" si="14"/>
        <v>-2.05189999999999</v>
      </c>
      <c r="Z48" s="19">
        <f t="shared" si="14"/>
        <v>-1.8081</v>
      </c>
      <c r="AA48" s="19">
        <f t="shared" si="14"/>
        <v>-1.0244</v>
      </c>
    </row>
    <row r="49" s="1" customFormat="1" ht="20" hidden="1" customHeight="1" spans="1:27">
      <c r="A49" s="15">
        <v>46007</v>
      </c>
      <c r="B49" s="16">
        <v>4303121811816</v>
      </c>
      <c r="C49" s="17" t="s">
        <v>37</v>
      </c>
      <c r="D49" s="20">
        <v>86.21</v>
      </c>
      <c r="E49" s="20">
        <v>92.87</v>
      </c>
      <c r="F49" s="20">
        <v>92.99</v>
      </c>
      <c r="G49" s="20">
        <v>91.58</v>
      </c>
      <c r="H49" s="20">
        <v>92.58</v>
      </c>
      <c r="I49" s="20">
        <v>91.33</v>
      </c>
      <c r="J49" s="20">
        <v>89.31</v>
      </c>
      <c r="K49" s="20">
        <v>88.61</v>
      </c>
      <c r="L49" s="20">
        <v>97.22</v>
      </c>
      <c r="M49" s="20">
        <v>93.58</v>
      </c>
      <c r="N49" s="20">
        <v>88.11</v>
      </c>
      <c r="O49" s="20">
        <v>83.98</v>
      </c>
      <c r="P49" s="20">
        <v>83.54</v>
      </c>
      <c r="Q49" s="20">
        <v>89.76</v>
      </c>
      <c r="R49" s="20">
        <v>93.59</v>
      </c>
      <c r="S49" s="20">
        <v>96.55</v>
      </c>
      <c r="T49" s="20">
        <v>98.76</v>
      </c>
      <c r="U49" s="20">
        <v>97.61</v>
      </c>
      <c r="V49" s="20">
        <v>91.21</v>
      </c>
      <c r="W49" s="20">
        <v>89.66</v>
      </c>
      <c r="X49" s="20">
        <v>94.79</v>
      </c>
      <c r="Y49" s="20">
        <v>93.44</v>
      </c>
      <c r="Z49" s="20">
        <v>93.66</v>
      </c>
      <c r="AA49" s="20">
        <v>87.21</v>
      </c>
    </row>
    <row r="50" s="1" customFormat="1" ht="14.25" spans="1:28">
      <c r="A50" s="15"/>
      <c r="B50" s="16"/>
      <c r="C50" s="17" t="s">
        <v>38</v>
      </c>
      <c r="D50" s="20">
        <v>85.4374</v>
      </c>
      <c r="E50" s="20">
        <v>89.4731</v>
      </c>
      <c r="F50" s="20">
        <v>90.0046</v>
      </c>
      <c r="G50" s="20">
        <v>90.3109</v>
      </c>
      <c r="H50" s="20">
        <v>91.1645</v>
      </c>
      <c r="I50" s="20">
        <v>89.0085</v>
      </c>
      <c r="J50" s="20">
        <v>88.9541</v>
      </c>
      <c r="K50" s="20">
        <v>92.0726</v>
      </c>
      <c r="L50" s="20">
        <v>93.8432</v>
      </c>
      <c r="M50" s="20">
        <v>92.5707</v>
      </c>
      <c r="N50" s="20">
        <v>92.6726</v>
      </c>
      <c r="O50" s="20">
        <v>84.9147</v>
      </c>
      <c r="P50" s="20">
        <v>83.7003</v>
      </c>
      <c r="Q50" s="20">
        <v>90.5611</v>
      </c>
      <c r="R50" s="20">
        <v>92.8998</v>
      </c>
      <c r="S50" s="20">
        <v>94.3677</v>
      </c>
      <c r="T50" s="20">
        <v>95.8637</v>
      </c>
      <c r="U50" s="20">
        <v>94.1037</v>
      </c>
      <c r="V50" s="20">
        <v>90.9357</v>
      </c>
      <c r="W50" s="20">
        <v>88.873</v>
      </c>
      <c r="X50" s="20">
        <v>89.9378</v>
      </c>
      <c r="Y50" s="20">
        <v>91.8597</v>
      </c>
      <c r="Z50" s="20">
        <v>90.6488</v>
      </c>
      <c r="AA50" s="20">
        <v>86.2523</v>
      </c>
      <c r="AB50" s="21">
        <f>MAX(K50:AA50)</f>
        <v>95.8637</v>
      </c>
    </row>
    <row r="51" s="1" customFormat="1" ht="14.25" hidden="1" spans="1:27">
      <c r="A51" s="15"/>
      <c r="B51" s="16"/>
      <c r="C51" s="17" t="s">
        <v>39</v>
      </c>
      <c r="D51" s="20">
        <f t="shared" ref="D51:AA51" si="15">D49-D50</f>
        <v>0.772599999999997</v>
      </c>
      <c r="E51" s="20">
        <f t="shared" si="15"/>
        <v>3.3969</v>
      </c>
      <c r="F51" s="20">
        <f t="shared" si="15"/>
        <v>2.9854</v>
      </c>
      <c r="G51" s="20">
        <f t="shared" si="15"/>
        <v>1.26909999999999</v>
      </c>
      <c r="H51" s="20">
        <f t="shared" si="15"/>
        <v>1.41549999999999</v>
      </c>
      <c r="I51" s="20">
        <f t="shared" si="15"/>
        <v>2.3215</v>
      </c>
      <c r="J51" s="20">
        <f t="shared" si="15"/>
        <v>0.355900000000005</v>
      </c>
      <c r="K51" s="20">
        <f t="shared" si="15"/>
        <v>-3.46259999999999</v>
      </c>
      <c r="L51" s="20">
        <f t="shared" si="15"/>
        <v>3.3768</v>
      </c>
      <c r="M51" s="20">
        <f t="shared" si="15"/>
        <v>1.0093</v>
      </c>
      <c r="N51" s="20">
        <f t="shared" si="15"/>
        <v>-4.5626</v>
      </c>
      <c r="O51" s="20">
        <f t="shared" si="15"/>
        <v>-0.934699999999992</v>
      </c>
      <c r="P51" s="20">
        <f t="shared" si="15"/>
        <v>-0.160299999999992</v>
      </c>
      <c r="Q51" s="20">
        <f t="shared" si="15"/>
        <v>-0.801099999999991</v>
      </c>
      <c r="R51" s="20">
        <f t="shared" si="15"/>
        <v>0.690200000000004</v>
      </c>
      <c r="S51" s="20">
        <f t="shared" si="15"/>
        <v>2.1823</v>
      </c>
      <c r="T51" s="20">
        <f t="shared" si="15"/>
        <v>2.89630000000001</v>
      </c>
      <c r="U51" s="20">
        <f t="shared" si="15"/>
        <v>3.5063</v>
      </c>
      <c r="V51" s="20">
        <f t="shared" si="15"/>
        <v>0.274299999999997</v>
      </c>
      <c r="W51" s="20">
        <f t="shared" si="15"/>
        <v>0.786999999999992</v>
      </c>
      <c r="X51" s="20">
        <f t="shared" si="15"/>
        <v>4.85220000000001</v>
      </c>
      <c r="Y51" s="20">
        <f t="shared" si="15"/>
        <v>1.58029999999999</v>
      </c>
      <c r="Z51" s="20">
        <f t="shared" si="15"/>
        <v>3.0112</v>
      </c>
      <c r="AA51" s="20">
        <f t="shared" si="15"/>
        <v>0.957699999999988</v>
      </c>
    </row>
    <row r="52" s="1" customFormat="1" ht="20" hidden="1" customHeight="1" spans="1:27">
      <c r="A52" s="15">
        <v>46008</v>
      </c>
      <c r="B52" s="16">
        <v>4303121811816</v>
      </c>
      <c r="C52" s="17" t="s">
        <v>37</v>
      </c>
      <c r="D52" s="19">
        <v>87.11</v>
      </c>
      <c r="E52" s="19">
        <v>89.76</v>
      </c>
      <c r="F52" s="19">
        <v>91.58</v>
      </c>
      <c r="G52" s="19">
        <v>91.66</v>
      </c>
      <c r="H52" s="19">
        <v>92.18</v>
      </c>
      <c r="I52" s="19">
        <v>91.22</v>
      </c>
      <c r="J52" s="19">
        <v>89.45</v>
      </c>
      <c r="K52" s="19">
        <v>88.54</v>
      </c>
      <c r="L52" s="19">
        <v>97.18</v>
      </c>
      <c r="M52" s="19">
        <v>93.61</v>
      </c>
      <c r="N52" s="19">
        <v>88.22</v>
      </c>
      <c r="O52" s="19">
        <v>83.58</v>
      </c>
      <c r="P52" s="19">
        <v>83.61</v>
      </c>
      <c r="Q52" s="19">
        <v>89.77</v>
      </c>
      <c r="R52" s="19">
        <v>93.43</v>
      </c>
      <c r="S52" s="19">
        <v>96.75</v>
      </c>
      <c r="T52" s="19">
        <v>98.55</v>
      </c>
      <c r="U52" s="19">
        <v>97.48</v>
      </c>
      <c r="V52" s="19">
        <v>91.31</v>
      </c>
      <c r="W52" s="19">
        <v>89.58</v>
      </c>
      <c r="X52" s="19">
        <v>94.61</v>
      </c>
      <c r="Y52" s="19">
        <v>93.22</v>
      </c>
      <c r="Z52" s="19">
        <v>93.54</v>
      </c>
      <c r="AA52" s="19">
        <v>87.33</v>
      </c>
    </row>
    <row r="53" s="1" customFormat="1" ht="14.25" spans="1:28">
      <c r="A53" s="15"/>
      <c r="B53" s="16"/>
      <c r="C53" s="17" t="s">
        <v>38</v>
      </c>
      <c r="D53" s="19">
        <v>86.5075</v>
      </c>
      <c r="E53" s="19">
        <v>90.0152</v>
      </c>
      <c r="F53" s="19">
        <v>90.7245</v>
      </c>
      <c r="G53" s="19">
        <v>90.9515</v>
      </c>
      <c r="H53" s="19">
        <v>89.445</v>
      </c>
      <c r="I53" s="19">
        <v>89.0701</v>
      </c>
      <c r="J53" s="19">
        <v>87.5776</v>
      </c>
      <c r="K53" s="19">
        <v>89.9114</v>
      </c>
      <c r="L53" s="19">
        <v>95.6315</v>
      </c>
      <c r="M53" s="19">
        <v>92.7158</v>
      </c>
      <c r="N53" s="19">
        <v>87.113</v>
      </c>
      <c r="O53" s="19">
        <v>78.9765</v>
      </c>
      <c r="P53" s="19">
        <v>79.2669</v>
      </c>
      <c r="Q53" s="19">
        <v>89.7107</v>
      </c>
      <c r="R53" s="19">
        <v>90.3513</v>
      </c>
      <c r="S53" s="19">
        <v>94.5314</v>
      </c>
      <c r="T53" s="19">
        <v>94.0579</v>
      </c>
      <c r="U53" s="19">
        <v>92.451</v>
      </c>
      <c r="V53" s="19">
        <v>87.3506</v>
      </c>
      <c r="W53" s="19">
        <v>82.947</v>
      </c>
      <c r="X53" s="19">
        <v>88.6917</v>
      </c>
      <c r="Y53" s="19">
        <v>86.0854</v>
      </c>
      <c r="Z53" s="19">
        <v>86.7803</v>
      </c>
      <c r="AA53" s="19">
        <v>80.9019</v>
      </c>
      <c r="AB53" s="21">
        <f>MAX(K53:AA53)</f>
        <v>95.6315</v>
      </c>
    </row>
    <row r="54" s="1" customFormat="1" ht="14.25" hidden="1" spans="1:27">
      <c r="A54" s="15"/>
      <c r="B54" s="16"/>
      <c r="C54" s="17" t="s">
        <v>39</v>
      </c>
      <c r="D54" s="19">
        <f t="shared" ref="D54:AA54" si="16">D52-D53</f>
        <v>0.602500000000006</v>
      </c>
      <c r="E54" s="19">
        <f t="shared" si="16"/>
        <v>-0.255199999999988</v>
      </c>
      <c r="F54" s="19">
        <f t="shared" si="16"/>
        <v>0.855499999999992</v>
      </c>
      <c r="G54" s="19">
        <f t="shared" si="16"/>
        <v>0.708500000000001</v>
      </c>
      <c r="H54" s="19">
        <f t="shared" si="16"/>
        <v>2.73500000000001</v>
      </c>
      <c r="I54" s="19">
        <f t="shared" si="16"/>
        <v>2.1499</v>
      </c>
      <c r="J54" s="19">
        <f t="shared" si="16"/>
        <v>1.8724</v>
      </c>
      <c r="K54" s="19">
        <f t="shared" si="16"/>
        <v>-1.37139999999999</v>
      </c>
      <c r="L54" s="19">
        <f t="shared" si="16"/>
        <v>1.5485</v>
      </c>
      <c r="M54" s="19">
        <f t="shared" si="16"/>
        <v>0.894199999999998</v>
      </c>
      <c r="N54" s="19">
        <f t="shared" si="16"/>
        <v>1.107</v>
      </c>
      <c r="O54" s="19">
        <f t="shared" si="16"/>
        <v>4.6035</v>
      </c>
      <c r="P54" s="19">
        <f t="shared" si="16"/>
        <v>4.34309999999999</v>
      </c>
      <c r="Q54" s="19">
        <f t="shared" si="16"/>
        <v>0.0592999999999932</v>
      </c>
      <c r="R54" s="19">
        <f t="shared" si="16"/>
        <v>3.07870000000001</v>
      </c>
      <c r="S54" s="19">
        <f t="shared" si="16"/>
        <v>2.21859999999999</v>
      </c>
      <c r="T54" s="19">
        <f t="shared" si="16"/>
        <v>4.49209999999999</v>
      </c>
      <c r="U54" s="19">
        <f t="shared" si="16"/>
        <v>5.02900000000001</v>
      </c>
      <c r="V54" s="19">
        <f t="shared" si="16"/>
        <v>3.9594</v>
      </c>
      <c r="W54" s="19">
        <f t="shared" si="16"/>
        <v>6.633</v>
      </c>
      <c r="X54" s="19">
        <f t="shared" si="16"/>
        <v>5.9183</v>
      </c>
      <c r="Y54" s="19">
        <f t="shared" si="16"/>
        <v>7.13459999999999</v>
      </c>
      <c r="Z54" s="19">
        <f t="shared" si="16"/>
        <v>6.75970000000001</v>
      </c>
      <c r="AA54" s="19">
        <f t="shared" si="16"/>
        <v>6.4281</v>
      </c>
    </row>
    <row r="55" s="1" customFormat="1" ht="20" hidden="1" customHeight="1" spans="1:27">
      <c r="A55" s="15">
        <v>46009</v>
      </c>
      <c r="B55" s="16">
        <v>4303121811816</v>
      </c>
      <c r="C55" s="17" t="s">
        <v>37</v>
      </c>
      <c r="D55" s="20">
        <v>87.21</v>
      </c>
      <c r="E55" s="20">
        <v>89.64</v>
      </c>
      <c r="F55" s="20">
        <v>91.55</v>
      </c>
      <c r="G55" s="20">
        <v>91.45</v>
      </c>
      <c r="H55" s="20">
        <v>92.31</v>
      </c>
      <c r="I55" s="20">
        <v>91.33</v>
      </c>
      <c r="J55" s="20">
        <v>89.51</v>
      </c>
      <c r="K55" s="20">
        <v>88.61</v>
      </c>
      <c r="L55" s="20">
        <v>97.22</v>
      </c>
      <c r="M55" s="20">
        <v>93.45</v>
      </c>
      <c r="N55" s="20">
        <v>88.33</v>
      </c>
      <c r="O55" s="20">
        <v>83.61</v>
      </c>
      <c r="P55" s="20">
        <v>83.54</v>
      </c>
      <c r="Q55" s="20">
        <v>89.98</v>
      </c>
      <c r="R55" s="20">
        <v>93.33</v>
      </c>
      <c r="S55" s="20">
        <v>96.66</v>
      </c>
      <c r="T55" s="20">
        <v>98.61</v>
      </c>
      <c r="U55" s="20">
        <v>97.58</v>
      </c>
      <c r="V55" s="20">
        <v>91.22</v>
      </c>
      <c r="W55" s="20">
        <v>89.55</v>
      </c>
      <c r="X55" s="20">
        <v>94.41</v>
      </c>
      <c r="Y55" s="20">
        <v>92.98</v>
      </c>
      <c r="Z55" s="20">
        <v>93.55</v>
      </c>
      <c r="AA55" s="20">
        <v>87.21</v>
      </c>
    </row>
    <row r="56" s="1" customFormat="1" ht="14.25" spans="1:28">
      <c r="A56" s="15"/>
      <c r="B56" s="16"/>
      <c r="C56" s="17" t="s">
        <v>38</v>
      </c>
      <c r="D56" s="20">
        <v>82.148</v>
      </c>
      <c r="E56" s="20">
        <v>86.5269</v>
      </c>
      <c r="F56" s="20">
        <v>86.7821</v>
      </c>
      <c r="G56" s="20">
        <v>87.0918</v>
      </c>
      <c r="H56" s="20">
        <v>87.0144</v>
      </c>
      <c r="I56" s="20">
        <v>85.8223</v>
      </c>
      <c r="J56" s="20">
        <v>81.5015</v>
      </c>
      <c r="K56" s="20">
        <v>83.9309</v>
      </c>
      <c r="L56" s="20">
        <v>88.2915</v>
      </c>
      <c r="M56" s="20">
        <v>85.8493</v>
      </c>
      <c r="N56" s="20">
        <v>83.5384</v>
      </c>
      <c r="O56" s="20">
        <v>77.5615</v>
      </c>
      <c r="P56" s="20">
        <v>73.9587</v>
      </c>
      <c r="Q56" s="20">
        <v>84.2776</v>
      </c>
      <c r="R56" s="20">
        <v>82.6461</v>
      </c>
      <c r="S56" s="20">
        <v>85.0362</v>
      </c>
      <c r="T56" s="20">
        <v>88.1514</v>
      </c>
      <c r="U56" s="20">
        <v>88.0317</v>
      </c>
      <c r="V56" s="20">
        <v>81.4352</v>
      </c>
      <c r="W56" s="20">
        <v>78.8269</v>
      </c>
      <c r="X56" s="20">
        <v>95.2738</v>
      </c>
      <c r="Y56" s="20">
        <v>83.9238</v>
      </c>
      <c r="Z56" s="20">
        <v>84.5792</v>
      </c>
      <c r="AA56" s="20">
        <v>79.1525</v>
      </c>
      <c r="AB56" s="21">
        <f>MAX(K56:AA56)</f>
        <v>95.2738</v>
      </c>
    </row>
    <row r="57" s="1" customFormat="1" ht="14.25" hidden="1" spans="1:27">
      <c r="A57" s="15"/>
      <c r="B57" s="16"/>
      <c r="C57" s="17" t="s">
        <v>39</v>
      </c>
      <c r="D57" s="20">
        <f t="shared" ref="D57:AA57" si="17">D55-D56</f>
        <v>5.062</v>
      </c>
      <c r="E57" s="20">
        <f t="shared" si="17"/>
        <v>3.1131</v>
      </c>
      <c r="F57" s="20">
        <f t="shared" si="17"/>
        <v>4.7679</v>
      </c>
      <c r="G57" s="20">
        <f t="shared" si="17"/>
        <v>4.3582</v>
      </c>
      <c r="H57" s="20">
        <f t="shared" si="17"/>
        <v>5.29560000000001</v>
      </c>
      <c r="I57" s="20">
        <f t="shared" si="17"/>
        <v>5.5077</v>
      </c>
      <c r="J57" s="20">
        <f t="shared" si="17"/>
        <v>8.00850000000001</v>
      </c>
      <c r="K57" s="20">
        <f t="shared" si="17"/>
        <v>4.67910000000001</v>
      </c>
      <c r="L57" s="20">
        <f t="shared" si="17"/>
        <v>8.9285</v>
      </c>
      <c r="M57" s="20">
        <f t="shared" si="17"/>
        <v>7.6007</v>
      </c>
      <c r="N57" s="20">
        <f t="shared" si="17"/>
        <v>4.7916</v>
      </c>
      <c r="O57" s="20">
        <f t="shared" si="17"/>
        <v>6.0485</v>
      </c>
      <c r="P57" s="20">
        <f t="shared" si="17"/>
        <v>9.58130000000001</v>
      </c>
      <c r="Q57" s="20">
        <f t="shared" si="17"/>
        <v>5.7024</v>
      </c>
      <c r="R57" s="20">
        <f t="shared" si="17"/>
        <v>10.6839</v>
      </c>
      <c r="S57" s="20">
        <f t="shared" si="17"/>
        <v>11.6238</v>
      </c>
      <c r="T57" s="20">
        <f t="shared" si="17"/>
        <v>10.4586</v>
      </c>
      <c r="U57" s="20">
        <f t="shared" si="17"/>
        <v>9.5483</v>
      </c>
      <c r="V57" s="20">
        <f t="shared" si="17"/>
        <v>9.7848</v>
      </c>
      <c r="W57" s="20">
        <f t="shared" si="17"/>
        <v>10.7231</v>
      </c>
      <c r="X57" s="20">
        <f t="shared" si="17"/>
        <v>-0.863799999999998</v>
      </c>
      <c r="Y57" s="20">
        <f t="shared" si="17"/>
        <v>9.0562</v>
      </c>
      <c r="Z57" s="20">
        <f t="shared" si="17"/>
        <v>8.9708</v>
      </c>
      <c r="AA57" s="20">
        <f t="shared" si="17"/>
        <v>8.05749999999999</v>
      </c>
    </row>
    <row r="58" s="1" customFormat="1" ht="20" hidden="1" customHeight="1" spans="1:27">
      <c r="A58" s="15">
        <v>46010</v>
      </c>
      <c r="B58" s="16">
        <v>4303121811816</v>
      </c>
      <c r="C58" s="17" t="s">
        <v>37</v>
      </c>
      <c r="D58" s="19">
        <v>86.88</v>
      </c>
      <c r="E58" s="19">
        <v>89.54</v>
      </c>
      <c r="F58" s="19">
        <v>91.22</v>
      </c>
      <c r="G58" s="19">
        <v>91.55</v>
      </c>
      <c r="H58" s="19">
        <v>92.41</v>
      </c>
      <c r="I58" s="19">
        <v>91.41</v>
      </c>
      <c r="J58" s="19">
        <v>89.55</v>
      </c>
      <c r="K58" s="19">
        <v>88.45</v>
      </c>
      <c r="L58" s="19">
        <v>97.31</v>
      </c>
      <c r="M58" s="19">
        <v>93.55</v>
      </c>
      <c r="N58" s="19">
        <v>88.42</v>
      </c>
      <c r="O58" s="19">
        <v>83.54</v>
      </c>
      <c r="P58" s="19">
        <v>83.61</v>
      </c>
      <c r="Q58" s="19">
        <v>89.76</v>
      </c>
      <c r="R58" s="19">
        <v>93.41</v>
      </c>
      <c r="S58" s="19">
        <v>96.54</v>
      </c>
      <c r="T58" s="19">
        <v>98.58</v>
      </c>
      <c r="U58" s="19">
        <v>97.66</v>
      </c>
      <c r="V58" s="19">
        <v>91.31</v>
      </c>
      <c r="W58" s="19">
        <v>89.61</v>
      </c>
      <c r="X58" s="19">
        <v>94.55</v>
      </c>
      <c r="Y58" s="19">
        <v>93.22</v>
      </c>
      <c r="Z58" s="19">
        <v>93.61</v>
      </c>
      <c r="AA58" s="19">
        <v>86.98</v>
      </c>
    </row>
    <row r="59" s="1" customFormat="1" ht="14.25" spans="1:28">
      <c r="A59" s="15"/>
      <c r="B59" s="16"/>
      <c r="C59" s="17" t="s">
        <v>38</v>
      </c>
      <c r="D59" s="19">
        <v>79.2651</v>
      </c>
      <c r="E59" s="19">
        <v>84.4114</v>
      </c>
      <c r="F59" s="19">
        <v>85.2104</v>
      </c>
      <c r="G59" s="19">
        <v>84.6613</v>
      </c>
      <c r="H59" s="19">
        <v>84.3656</v>
      </c>
      <c r="I59" s="19">
        <v>83.1406</v>
      </c>
      <c r="J59" s="19">
        <v>79.5045</v>
      </c>
      <c r="K59" s="19">
        <v>80.0642</v>
      </c>
      <c r="L59" s="19">
        <v>84.9601</v>
      </c>
      <c r="M59" s="19">
        <v>82.7235</v>
      </c>
      <c r="N59" s="19">
        <v>79.2845</v>
      </c>
      <c r="O59" s="19">
        <v>73.685</v>
      </c>
      <c r="P59" s="19">
        <v>73.233</v>
      </c>
      <c r="Q59" s="19">
        <v>79.2317</v>
      </c>
      <c r="R59" s="19">
        <v>81.7379</v>
      </c>
      <c r="S59" s="19">
        <v>84.3709</v>
      </c>
      <c r="T59" s="19">
        <v>87.2186</v>
      </c>
      <c r="U59" s="19">
        <v>84.1386</v>
      </c>
      <c r="V59" s="19">
        <v>81.927</v>
      </c>
      <c r="W59" s="19">
        <v>78.899</v>
      </c>
      <c r="X59" s="19">
        <v>82.947</v>
      </c>
      <c r="Y59" s="19">
        <v>82.6725</v>
      </c>
      <c r="Z59" s="19">
        <v>80.3325</v>
      </c>
      <c r="AA59" s="19">
        <v>78.6104</v>
      </c>
      <c r="AB59" s="21">
        <f>MAX(K59:AA59)</f>
        <v>87.2186</v>
      </c>
    </row>
    <row r="60" s="1" customFormat="1" ht="14.25" hidden="1" spans="1:27">
      <c r="A60" s="15"/>
      <c r="B60" s="16"/>
      <c r="C60" s="17" t="s">
        <v>39</v>
      </c>
      <c r="D60" s="19">
        <f t="shared" ref="D60:AA60" si="18">D58-D59</f>
        <v>7.61489999999999</v>
      </c>
      <c r="E60" s="19">
        <f t="shared" si="18"/>
        <v>5.12860000000001</v>
      </c>
      <c r="F60" s="19">
        <f t="shared" si="18"/>
        <v>6.00959999999999</v>
      </c>
      <c r="G60" s="19">
        <f t="shared" si="18"/>
        <v>6.8887</v>
      </c>
      <c r="H60" s="19">
        <f t="shared" si="18"/>
        <v>8.0444</v>
      </c>
      <c r="I60" s="19">
        <f t="shared" si="18"/>
        <v>8.26939999999999</v>
      </c>
      <c r="J60" s="19">
        <f t="shared" si="18"/>
        <v>10.0455</v>
      </c>
      <c r="K60" s="19">
        <f t="shared" si="18"/>
        <v>8.3858</v>
      </c>
      <c r="L60" s="19">
        <f t="shared" si="18"/>
        <v>12.3499</v>
      </c>
      <c r="M60" s="19">
        <f t="shared" si="18"/>
        <v>10.8265</v>
      </c>
      <c r="N60" s="19">
        <f t="shared" si="18"/>
        <v>9.13550000000001</v>
      </c>
      <c r="O60" s="19">
        <f t="shared" si="18"/>
        <v>9.855</v>
      </c>
      <c r="P60" s="19">
        <f t="shared" si="18"/>
        <v>10.377</v>
      </c>
      <c r="Q60" s="19">
        <f t="shared" si="18"/>
        <v>10.5283</v>
      </c>
      <c r="R60" s="19">
        <f t="shared" si="18"/>
        <v>11.6721</v>
      </c>
      <c r="S60" s="19">
        <f t="shared" si="18"/>
        <v>12.1691</v>
      </c>
      <c r="T60" s="19">
        <f t="shared" si="18"/>
        <v>11.3614</v>
      </c>
      <c r="U60" s="19">
        <f t="shared" si="18"/>
        <v>13.5214</v>
      </c>
      <c r="V60" s="19">
        <f t="shared" si="18"/>
        <v>9.383</v>
      </c>
      <c r="W60" s="19">
        <f t="shared" si="18"/>
        <v>10.711</v>
      </c>
      <c r="X60" s="19">
        <f t="shared" si="18"/>
        <v>11.603</v>
      </c>
      <c r="Y60" s="19">
        <f t="shared" si="18"/>
        <v>10.5475</v>
      </c>
      <c r="Z60" s="19">
        <f t="shared" si="18"/>
        <v>13.2775</v>
      </c>
      <c r="AA60" s="19">
        <f t="shared" si="18"/>
        <v>8.36960000000001</v>
      </c>
    </row>
    <row r="61" s="1" customFormat="1" ht="20" hidden="1" customHeight="1" spans="1:27">
      <c r="A61" s="15">
        <v>46011</v>
      </c>
      <c r="B61" s="16">
        <v>4303121811816</v>
      </c>
      <c r="C61" s="17" t="s">
        <v>37</v>
      </c>
      <c r="D61" s="20">
        <v>87.11</v>
      </c>
      <c r="E61" s="20">
        <v>89.48</v>
      </c>
      <c r="F61" s="20">
        <v>91.31</v>
      </c>
      <c r="G61" s="20">
        <v>91.48</v>
      </c>
      <c r="H61" s="20">
        <v>92.33</v>
      </c>
      <c r="I61" s="20">
        <v>91.24</v>
      </c>
      <c r="J61" s="20">
        <v>89.68</v>
      </c>
      <c r="K61" s="20">
        <v>88.61</v>
      </c>
      <c r="L61" s="20">
        <v>97.29</v>
      </c>
      <c r="M61" s="20">
        <v>93.64</v>
      </c>
      <c r="N61" s="20">
        <v>88.31</v>
      </c>
      <c r="O61" s="20">
        <v>83.66</v>
      </c>
      <c r="P61" s="20">
        <v>83.58</v>
      </c>
      <c r="Q61" s="20">
        <v>89.84</v>
      </c>
      <c r="R61" s="20">
        <v>93.22</v>
      </c>
      <c r="S61" s="20">
        <v>96.54</v>
      </c>
      <c r="T61" s="20">
        <v>98.66</v>
      </c>
      <c r="U61" s="20">
        <v>97.58</v>
      </c>
      <c r="V61" s="20">
        <v>91.28</v>
      </c>
      <c r="W61" s="20">
        <v>89.76</v>
      </c>
      <c r="X61" s="20">
        <v>94.61</v>
      </c>
      <c r="Y61" s="20">
        <v>93.33</v>
      </c>
      <c r="Z61" s="20">
        <v>93.58</v>
      </c>
      <c r="AA61" s="20">
        <v>87.11</v>
      </c>
    </row>
    <row r="62" s="1" customFormat="1" ht="14.25" spans="1:28">
      <c r="A62" s="15"/>
      <c r="B62" s="16"/>
      <c r="C62" s="17" t="s">
        <v>38</v>
      </c>
      <c r="D62" s="20">
        <v>78.0912</v>
      </c>
      <c r="E62" s="20">
        <v>81.928</v>
      </c>
      <c r="F62" s="20">
        <v>82.1426</v>
      </c>
      <c r="G62" s="20">
        <v>81.7221</v>
      </c>
      <c r="H62" s="20">
        <v>82.4648</v>
      </c>
      <c r="I62" s="20">
        <v>80.7453</v>
      </c>
      <c r="J62" s="20">
        <v>76.3734</v>
      </c>
      <c r="K62" s="20">
        <v>77.2957</v>
      </c>
      <c r="L62" s="20">
        <v>79.0522</v>
      </c>
      <c r="M62" s="20">
        <v>77.0862</v>
      </c>
      <c r="N62" s="20">
        <v>75.5339</v>
      </c>
      <c r="O62" s="20">
        <v>70.0231</v>
      </c>
      <c r="P62" s="20">
        <v>69.344</v>
      </c>
      <c r="Q62" s="20">
        <v>76.4403</v>
      </c>
      <c r="R62" s="20">
        <v>80.7206</v>
      </c>
      <c r="S62" s="20">
        <v>81.2909</v>
      </c>
      <c r="T62" s="20">
        <v>81.4634</v>
      </c>
      <c r="U62" s="20">
        <v>78.5171</v>
      </c>
      <c r="V62" s="20">
        <v>76.0549</v>
      </c>
      <c r="W62" s="20">
        <v>73.7986</v>
      </c>
      <c r="X62" s="20">
        <v>76.78</v>
      </c>
      <c r="Y62" s="20">
        <v>77.4066</v>
      </c>
      <c r="Z62" s="20">
        <v>77.4558</v>
      </c>
      <c r="AA62" s="20">
        <v>73.7669</v>
      </c>
      <c r="AB62" s="21">
        <f>MAX(K62:AA62)</f>
        <v>81.4634</v>
      </c>
    </row>
    <row r="63" s="1" customFormat="1" ht="14.25" hidden="1" spans="1:27">
      <c r="A63" s="15"/>
      <c r="B63" s="16"/>
      <c r="C63" s="17" t="s">
        <v>39</v>
      </c>
      <c r="D63" s="20">
        <f t="shared" ref="D63:AA63" si="19">D61-D62</f>
        <v>9.0188</v>
      </c>
      <c r="E63" s="20">
        <f t="shared" si="19"/>
        <v>7.55200000000001</v>
      </c>
      <c r="F63" s="20">
        <f t="shared" si="19"/>
        <v>9.1674</v>
      </c>
      <c r="G63" s="20">
        <f t="shared" si="19"/>
        <v>9.75790000000001</v>
      </c>
      <c r="H63" s="20">
        <f t="shared" si="19"/>
        <v>9.8652</v>
      </c>
      <c r="I63" s="20">
        <f t="shared" si="19"/>
        <v>10.4947</v>
      </c>
      <c r="J63" s="20">
        <f t="shared" si="19"/>
        <v>13.3066</v>
      </c>
      <c r="K63" s="20">
        <f t="shared" si="19"/>
        <v>11.3143</v>
      </c>
      <c r="L63" s="20">
        <f t="shared" si="19"/>
        <v>18.2378</v>
      </c>
      <c r="M63" s="20">
        <f t="shared" si="19"/>
        <v>16.5538</v>
      </c>
      <c r="N63" s="20">
        <f t="shared" si="19"/>
        <v>12.7761</v>
      </c>
      <c r="O63" s="20">
        <f t="shared" si="19"/>
        <v>13.6369</v>
      </c>
      <c r="P63" s="20">
        <f t="shared" si="19"/>
        <v>14.236</v>
      </c>
      <c r="Q63" s="20">
        <f t="shared" si="19"/>
        <v>13.3997</v>
      </c>
      <c r="R63" s="20">
        <f t="shared" si="19"/>
        <v>12.4994</v>
      </c>
      <c r="S63" s="20">
        <f t="shared" si="19"/>
        <v>15.2491</v>
      </c>
      <c r="T63" s="20">
        <f t="shared" si="19"/>
        <v>17.1966</v>
      </c>
      <c r="U63" s="20">
        <f t="shared" si="19"/>
        <v>19.0629</v>
      </c>
      <c r="V63" s="20">
        <f t="shared" si="19"/>
        <v>15.2251</v>
      </c>
      <c r="W63" s="20">
        <f t="shared" si="19"/>
        <v>15.9614</v>
      </c>
      <c r="X63" s="20">
        <f t="shared" si="19"/>
        <v>17.83</v>
      </c>
      <c r="Y63" s="20">
        <f t="shared" si="19"/>
        <v>15.9234</v>
      </c>
      <c r="Z63" s="20">
        <f t="shared" si="19"/>
        <v>16.1242</v>
      </c>
      <c r="AA63" s="20">
        <f t="shared" si="19"/>
        <v>13.3431</v>
      </c>
    </row>
    <row r="64" s="1" customFormat="1" ht="20" hidden="1" customHeight="1" spans="1:27">
      <c r="A64" s="15">
        <v>46012</v>
      </c>
      <c r="B64" s="16">
        <v>4303121811816</v>
      </c>
      <c r="C64" s="17" t="s">
        <v>37</v>
      </c>
      <c r="D64" s="19">
        <v>81.11</v>
      </c>
      <c r="E64" s="19">
        <v>84.35</v>
      </c>
      <c r="F64" s="19">
        <v>84.98</v>
      </c>
      <c r="G64" s="19">
        <v>84.58</v>
      </c>
      <c r="H64" s="19">
        <v>82.71</v>
      </c>
      <c r="I64" s="19">
        <v>82.89</v>
      </c>
      <c r="J64" s="19">
        <v>78.77</v>
      </c>
      <c r="K64" s="19">
        <v>71.12</v>
      </c>
      <c r="L64" s="19">
        <v>70.22</v>
      </c>
      <c r="M64" s="19">
        <v>68.77</v>
      </c>
      <c r="N64" s="19">
        <v>65.45</v>
      </c>
      <c r="O64" s="19">
        <v>62.44</v>
      </c>
      <c r="P64" s="19">
        <v>61.22</v>
      </c>
      <c r="Q64" s="19">
        <v>64.31</v>
      </c>
      <c r="R64" s="19">
        <v>67.77</v>
      </c>
      <c r="S64" s="19">
        <v>82.54</v>
      </c>
      <c r="T64" s="19">
        <v>73.48</v>
      </c>
      <c r="U64" s="19">
        <v>72.77</v>
      </c>
      <c r="V64" s="19">
        <v>70.21</v>
      </c>
      <c r="W64" s="19">
        <v>69.21</v>
      </c>
      <c r="X64" s="19">
        <v>73.75</v>
      </c>
      <c r="Y64" s="19">
        <v>73.57</v>
      </c>
      <c r="Z64" s="19">
        <v>73.22</v>
      </c>
      <c r="AA64" s="19">
        <v>72.11</v>
      </c>
    </row>
    <row r="65" s="1" customFormat="1" ht="14.25" spans="1:28">
      <c r="A65" s="15"/>
      <c r="B65" s="16"/>
      <c r="C65" s="17" t="s">
        <v>38</v>
      </c>
      <c r="D65" s="19">
        <v>73.1086</v>
      </c>
      <c r="E65" s="19">
        <v>76.8856</v>
      </c>
      <c r="F65" s="19">
        <v>77.7163</v>
      </c>
      <c r="G65" s="19">
        <v>75.3051</v>
      </c>
      <c r="H65" s="19">
        <v>76.245</v>
      </c>
      <c r="I65" s="19">
        <v>72.9203</v>
      </c>
      <c r="J65" s="19">
        <v>71.2994</v>
      </c>
      <c r="K65" s="19">
        <v>70.8541</v>
      </c>
      <c r="L65" s="19">
        <v>72.9752</v>
      </c>
      <c r="M65" s="19">
        <v>73.1614</v>
      </c>
      <c r="N65" s="19">
        <v>71.3834</v>
      </c>
      <c r="O65" s="19">
        <v>65.2538</v>
      </c>
      <c r="P65" s="19">
        <v>66.2517</v>
      </c>
      <c r="Q65" s="19">
        <v>70.6534</v>
      </c>
      <c r="R65" s="19">
        <v>71.096</v>
      </c>
      <c r="S65" s="19">
        <v>72.3307</v>
      </c>
      <c r="T65" s="19">
        <v>73.825</v>
      </c>
      <c r="U65" s="19">
        <v>70.8734</v>
      </c>
      <c r="V65" s="19">
        <v>68.501</v>
      </c>
      <c r="W65" s="19">
        <v>70.3877</v>
      </c>
      <c r="X65" s="19">
        <v>73.9675</v>
      </c>
      <c r="Y65" s="19">
        <v>74.2702</v>
      </c>
      <c r="Z65" s="19">
        <v>72.9802</v>
      </c>
      <c r="AA65" s="19">
        <v>71.0582</v>
      </c>
      <c r="AB65" s="21">
        <f>MAX(K65:AA65)</f>
        <v>74.2702</v>
      </c>
    </row>
    <row r="66" s="1" customFormat="1" ht="14.25" hidden="1" spans="1:27">
      <c r="A66" s="15"/>
      <c r="B66" s="16"/>
      <c r="C66" s="17" t="s">
        <v>39</v>
      </c>
      <c r="D66" s="19">
        <f t="shared" ref="D66:AA66" si="20">D64-D65</f>
        <v>8.0014</v>
      </c>
      <c r="E66" s="19">
        <f t="shared" si="20"/>
        <v>7.4644</v>
      </c>
      <c r="F66" s="19">
        <f t="shared" si="20"/>
        <v>7.2637</v>
      </c>
      <c r="G66" s="19">
        <f t="shared" si="20"/>
        <v>9.2749</v>
      </c>
      <c r="H66" s="19">
        <f t="shared" si="20"/>
        <v>6.46499999999999</v>
      </c>
      <c r="I66" s="19">
        <f t="shared" si="20"/>
        <v>9.9697</v>
      </c>
      <c r="J66" s="19">
        <f t="shared" si="20"/>
        <v>7.47059999999999</v>
      </c>
      <c r="K66" s="19">
        <f t="shared" si="20"/>
        <v>0.265900000000002</v>
      </c>
      <c r="L66" s="19">
        <f t="shared" si="20"/>
        <v>-2.7552</v>
      </c>
      <c r="M66" s="19">
        <f t="shared" si="20"/>
        <v>-4.3914</v>
      </c>
      <c r="N66" s="19">
        <f t="shared" si="20"/>
        <v>-5.93339999999999</v>
      </c>
      <c r="O66" s="19">
        <f t="shared" si="20"/>
        <v>-2.8138</v>
      </c>
      <c r="P66" s="19">
        <f t="shared" si="20"/>
        <v>-5.0317</v>
      </c>
      <c r="Q66" s="19">
        <f t="shared" si="20"/>
        <v>-6.3434</v>
      </c>
      <c r="R66" s="19">
        <f t="shared" si="20"/>
        <v>-3.32600000000001</v>
      </c>
      <c r="S66" s="19">
        <f t="shared" si="20"/>
        <v>10.2093</v>
      </c>
      <c r="T66" s="19">
        <f t="shared" si="20"/>
        <v>-0.344999999999999</v>
      </c>
      <c r="U66" s="19">
        <f t="shared" si="20"/>
        <v>1.89659999999999</v>
      </c>
      <c r="V66" s="19">
        <f t="shared" si="20"/>
        <v>1.70899999999999</v>
      </c>
      <c r="W66" s="19">
        <f t="shared" si="20"/>
        <v>-1.1777</v>
      </c>
      <c r="X66" s="19">
        <f t="shared" si="20"/>
        <v>-0.217500000000001</v>
      </c>
      <c r="Y66" s="19">
        <f t="shared" si="20"/>
        <v>-0.700200000000009</v>
      </c>
      <c r="Z66" s="19">
        <f t="shared" si="20"/>
        <v>0.239800000000002</v>
      </c>
      <c r="AA66" s="19">
        <f t="shared" si="20"/>
        <v>1.0518</v>
      </c>
    </row>
    <row r="67" s="1" customFormat="1" ht="20" hidden="1" customHeight="1" spans="1:27">
      <c r="A67" s="15">
        <v>46013</v>
      </c>
      <c r="B67" s="16">
        <v>4303121811816</v>
      </c>
      <c r="C67" s="17" t="s">
        <v>37</v>
      </c>
      <c r="D67" s="20">
        <v>70.68</v>
      </c>
      <c r="E67" s="20">
        <v>74.55</v>
      </c>
      <c r="F67" s="20">
        <v>74.66</v>
      </c>
      <c r="G67" s="20">
        <v>74.58</v>
      </c>
      <c r="H67" s="20">
        <v>75.55</v>
      </c>
      <c r="I67" s="20">
        <v>76.14</v>
      </c>
      <c r="J67" s="20">
        <v>76.54</v>
      </c>
      <c r="K67" s="20">
        <v>79.55</v>
      </c>
      <c r="L67" s="20">
        <v>92.31</v>
      </c>
      <c r="M67" s="20">
        <v>92.41</v>
      </c>
      <c r="N67" s="20">
        <v>91.99</v>
      </c>
      <c r="O67" s="20">
        <v>82.31</v>
      </c>
      <c r="P67" s="20">
        <v>88.62</v>
      </c>
      <c r="Q67" s="20">
        <v>93.76</v>
      </c>
      <c r="R67" s="20">
        <v>93.33</v>
      </c>
      <c r="S67" s="20">
        <v>93.41</v>
      </c>
      <c r="T67" s="20">
        <v>95.18</v>
      </c>
      <c r="U67" s="20">
        <v>92.71</v>
      </c>
      <c r="V67" s="20">
        <v>81.33</v>
      </c>
      <c r="W67" s="20">
        <v>87.68</v>
      </c>
      <c r="X67" s="20">
        <v>92.31</v>
      </c>
      <c r="Y67" s="20">
        <v>89.87</v>
      </c>
      <c r="Z67" s="20">
        <v>91.22</v>
      </c>
      <c r="AA67" s="20">
        <v>86.33</v>
      </c>
    </row>
    <row r="68" s="1" customFormat="1" ht="20" customHeight="1" spans="1:28">
      <c r="A68" s="15"/>
      <c r="B68" s="16"/>
      <c r="C68" s="17" t="s">
        <v>38</v>
      </c>
      <c r="D68" s="20">
        <v>70.9843</v>
      </c>
      <c r="E68" s="20">
        <v>73.9288</v>
      </c>
      <c r="F68" s="20">
        <v>73.649</v>
      </c>
      <c r="G68" s="20">
        <v>73.9517</v>
      </c>
      <c r="H68" s="20">
        <v>74.4762</v>
      </c>
      <c r="I68" s="20">
        <v>74.1717</v>
      </c>
      <c r="J68" s="20">
        <v>73.7088</v>
      </c>
      <c r="K68" s="20">
        <v>81.5642</v>
      </c>
      <c r="L68" s="20">
        <v>92.8695</v>
      </c>
      <c r="M68" s="20">
        <v>91.6963</v>
      </c>
      <c r="N68" s="20">
        <v>89.4115</v>
      </c>
      <c r="O68" s="20">
        <v>82.1832</v>
      </c>
      <c r="P68" s="20">
        <v>82.544</v>
      </c>
      <c r="Q68" s="20">
        <v>89.8163</v>
      </c>
      <c r="R68" s="20">
        <v>92.0515</v>
      </c>
      <c r="S68" s="20">
        <v>91.615</v>
      </c>
      <c r="T68" s="20">
        <v>91.777</v>
      </c>
      <c r="U68" s="20">
        <v>90.9638</v>
      </c>
      <c r="V68" s="20">
        <v>87.3189</v>
      </c>
      <c r="W68" s="20">
        <v>82.669</v>
      </c>
      <c r="X68" s="20">
        <v>89.8022</v>
      </c>
      <c r="Y68" s="20">
        <v>89.0842</v>
      </c>
      <c r="Z68" s="20">
        <v>87.9014</v>
      </c>
      <c r="AA68" s="20">
        <v>83.0579</v>
      </c>
      <c r="AB68" s="21">
        <f>MAX(K68:AA68)</f>
        <v>92.8695</v>
      </c>
    </row>
    <row r="69" s="1" customFormat="1" ht="20" hidden="1" customHeight="1" spans="1:27">
      <c r="A69" s="15"/>
      <c r="B69" s="16"/>
      <c r="C69" s="17" t="s">
        <v>39</v>
      </c>
      <c r="D69" s="20">
        <f t="shared" ref="D69:AA69" si="21">D67-D68</f>
        <v>-0.304299999999998</v>
      </c>
      <c r="E69" s="20">
        <f t="shared" si="21"/>
        <v>0.621200000000002</v>
      </c>
      <c r="F69" s="20">
        <f t="shared" si="21"/>
        <v>1.011</v>
      </c>
      <c r="G69" s="20">
        <f t="shared" si="21"/>
        <v>0.628299999999996</v>
      </c>
      <c r="H69" s="20">
        <f t="shared" si="21"/>
        <v>1.07379999999999</v>
      </c>
      <c r="I69" s="20">
        <f t="shared" si="21"/>
        <v>1.9683</v>
      </c>
      <c r="J69" s="20">
        <f t="shared" si="21"/>
        <v>2.83120000000001</v>
      </c>
      <c r="K69" s="20">
        <f t="shared" si="21"/>
        <v>-2.0142</v>
      </c>
      <c r="L69" s="20">
        <f t="shared" si="21"/>
        <v>-0.5595</v>
      </c>
      <c r="M69" s="20">
        <f t="shared" si="21"/>
        <v>0.713700000000003</v>
      </c>
      <c r="N69" s="20">
        <f t="shared" si="21"/>
        <v>2.57849999999999</v>
      </c>
      <c r="O69" s="20">
        <f t="shared" si="21"/>
        <v>0.126800000000003</v>
      </c>
      <c r="P69" s="20">
        <f t="shared" si="21"/>
        <v>6.07600000000001</v>
      </c>
      <c r="Q69" s="20">
        <f t="shared" si="21"/>
        <v>3.94370000000001</v>
      </c>
      <c r="R69" s="20">
        <f t="shared" si="21"/>
        <v>1.27849999999999</v>
      </c>
      <c r="S69" s="20">
        <f t="shared" si="21"/>
        <v>1.795</v>
      </c>
      <c r="T69" s="20">
        <f t="shared" si="21"/>
        <v>3.40300000000001</v>
      </c>
      <c r="U69" s="20">
        <f t="shared" si="21"/>
        <v>1.74619999999999</v>
      </c>
      <c r="V69" s="20">
        <f t="shared" si="21"/>
        <v>-5.9889</v>
      </c>
      <c r="W69" s="20">
        <f t="shared" si="21"/>
        <v>5.01100000000001</v>
      </c>
      <c r="X69" s="20">
        <f t="shared" si="21"/>
        <v>2.5078</v>
      </c>
      <c r="Y69" s="20">
        <f t="shared" si="21"/>
        <v>0.785800000000009</v>
      </c>
      <c r="Z69" s="20">
        <f t="shared" si="21"/>
        <v>3.3186</v>
      </c>
      <c r="AA69" s="20">
        <f t="shared" si="21"/>
        <v>3.27209999999999</v>
      </c>
    </row>
    <row r="70" s="1" customFormat="1" ht="20" hidden="1" customHeight="1" spans="1:27">
      <c r="A70" s="15">
        <v>46014</v>
      </c>
      <c r="B70" s="16">
        <v>4303121811816</v>
      </c>
      <c r="C70" s="17" t="s">
        <v>37</v>
      </c>
      <c r="D70" s="19">
        <v>85.51</v>
      </c>
      <c r="E70" s="19">
        <v>89.51</v>
      </c>
      <c r="F70" s="19">
        <v>90.65</v>
      </c>
      <c r="G70" s="19">
        <v>90.55</v>
      </c>
      <c r="H70" s="19">
        <v>91.22</v>
      </c>
      <c r="I70" s="19">
        <v>89.11</v>
      </c>
      <c r="J70" s="19">
        <v>88.55</v>
      </c>
      <c r="K70" s="19">
        <v>92.12</v>
      </c>
      <c r="L70" s="19">
        <v>93.65</v>
      </c>
      <c r="M70" s="19">
        <v>92.66</v>
      </c>
      <c r="N70" s="19">
        <v>92.57</v>
      </c>
      <c r="O70" s="19">
        <v>84.76</v>
      </c>
      <c r="P70" s="19">
        <v>83.66</v>
      </c>
      <c r="Q70" s="19">
        <v>90.71</v>
      </c>
      <c r="R70" s="19">
        <v>92.88</v>
      </c>
      <c r="S70" s="19">
        <v>94.41</v>
      </c>
      <c r="T70" s="19">
        <v>95.76</v>
      </c>
      <c r="U70" s="19">
        <v>94.22</v>
      </c>
      <c r="V70" s="19">
        <v>91.11</v>
      </c>
      <c r="W70" s="19">
        <v>88.92</v>
      </c>
      <c r="X70" s="19">
        <v>89.89</v>
      </c>
      <c r="Y70" s="19">
        <v>91.76</v>
      </c>
      <c r="Z70" s="19">
        <v>90.71</v>
      </c>
      <c r="AA70" s="19">
        <v>86.33</v>
      </c>
    </row>
    <row r="71" s="1" customFormat="1" ht="20" customHeight="1" spans="1:28">
      <c r="A71" s="15"/>
      <c r="B71" s="16"/>
      <c r="C71" s="17" t="s">
        <v>38</v>
      </c>
      <c r="D71" s="19">
        <v>83.6405</v>
      </c>
      <c r="E71" s="19">
        <v>87.5741</v>
      </c>
      <c r="F71" s="19">
        <v>89.4256</v>
      </c>
      <c r="G71" s="19">
        <v>88.0968</v>
      </c>
      <c r="H71" s="19">
        <v>88.0158</v>
      </c>
      <c r="I71" s="19">
        <v>86.9616</v>
      </c>
      <c r="J71" s="19">
        <v>86.1485</v>
      </c>
      <c r="K71" s="19">
        <v>86.277</v>
      </c>
      <c r="L71" s="19">
        <v>92.5645</v>
      </c>
      <c r="M71" s="19">
        <v>95.2726</v>
      </c>
      <c r="N71" s="19">
        <v>95.8078</v>
      </c>
      <c r="O71" s="19">
        <v>88.2482</v>
      </c>
      <c r="P71" s="19">
        <v>90.6611</v>
      </c>
      <c r="Q71" s="19">
        <v>95.5099</v>
      </c>
      <c r="R71" s="19">
        <v>97.2066</v>
      </c>
      <c r="S71" s="19">
        <v>96.1171</v>
      </c>
      <c r="T71" s="19">
        <v>95.133</v>
      </c>
      <c r="U71" s="19">
        <v>95.3867</v>
      </c>
      <c r="V71" s="19">
        <v>91.2947</v>
      </c>
      <c r="W71" s="19">
        <v>87.3242</v>
      </c>
      <c r="X71" s="19">
        <v>90.0381</v>
      </c>
      <c r="Y71" s="19">
        <v>91.7594</v>
      </c>
      <c r="Z71" s="19">
        <v>89.6632</v>
      </c>
      <c r="AA71" s="19">
        <v>86.4547</v>
      </c>
      <c r="AB71" s="21">
        <f>MAX(K71:AA71)</f>
        <v>97.2066</v>
      </c>
    </row>
    <row r="72" s="1" customFormat="1" ht="20" hidden="1" customHeight="1" spans="1:27">
      <c r="A72" s="15"/>
      <c r="B72" s="16"/>
      <c r="C72" s="17" t="s">
        <v>39</v>
      </c>
      <c r="D72" s="19">
        <f t="shared" ref="D72:AA72" si="22">D70-D71</f>
        <v>1.8695</v>
      </c>
      <c r="E72" s="19">
        <f t="shared" si="22"/>
        <v>1.9359</v>
      </c>
      <c r="F72" s="19">
        <f t="shared" si="22"/>
        <v>1.2244</v>
      </c>
      <c r="G72" s="19">
        <f t="shared" si="22"/>
        <v>2.4532</v>
      </c>
      <c r="H72" s="19">
        <f t="shared" si="22"/>
        <v>3.2042</v>
      </c>
      <c r="I72" s="19">
        <f t="shared" si="22"/>
        <v>2.1484</v>
      </c>
      <c r="J72" s="19">
        <f t="shared" si="22"/>
        <v>2.4015</v>
      </c>
      <c r="K72" s="19">
        <f t="shared" si="22"/>
        <v>5.843</v>
      </c>
      <c r="L72" s="19">
        <f t="shared" si="22"/>
        <v>1.08550000000001</v>
      </c>
      <c r="M72" s="19">
        <f t="shared" si="22"/>
        <v>-2.6126</v>
      </c>
      <c r="N72" s="19">
        <f t="shared" si="22"/>
        <v>-3.23780000000001</v>
      </c>
      <c r="O72" s="19">
        <f t="shared" si="22"/>
        <v>-3.48819999999999</v>
      </c>
      <c r="P72" s="19">
        <f t="shared" si="22"/>
        <v>-7.00110000000001</v>
      </c>
      <c r="Q72" s="19">
        <f t="shared" si="22"/>
        <v>-4.79990000000001</v>
      </c>
      <c r="R72" s="19">
        <f t="shared" si="22"/>
        <v>-4.3266</v>
      </c>
      <c r="S72" s="19">
        <f t="shared" si="22"/>
        <v>-1.7071</v>
      </c>
      <c r="T72" s="19">
        <f t="shared" si="22"/>
        <v>0.62700000000001</v>
      </c>
      <c r="U72" s="19">
        <f t="shared" si="22"/>
        <v>-1.16670000000001</v>
      </c>
      <c r="V72" s="19">
        <f t="shared" si="22"/>
        <v>-0.184700000000007</v>
      </c>
      <c r="W72" s="19">
        <f t="shared" si="22"/>
        <v>1.5958</v>
      </c>
      <c r="X72" s="19">
        <f t="shared" si="22"/>
        <v>-0.148099999999999</v>
      </c>
      <c r="Y72" s="19">
        <f t="shared" si="22"/>
        <v>0.000600000000005707</v>
      </c>
      <c r="Z72" s="19">
        <f t="shared" si="22"/>
        <v>1.04679999999999</v>
      </c>
      <c r="AA72" s="19">
        <f t="shared" si="22"/>
        <v>-0.124700000000004</v>
      </c>
    </row>
    <row r="73" s="1" customFormat="1" ht="20" hidden="1" customHeight="1" spans="1:27">
      <c r="A73" s="15">
        <v>46015</v>
      </c>
      <c r="B73" s="16">
        <v>4303121811816</v>
      </c>
      <c r="C73" s="17" t="s">
        <v>37</v>
      </c>
      <c r="D73" s="20">
        <v>85.66</v>
      </c>
      <c r="E73" s="20">
        <v>89.25</v>
      </c>
      <c r="F73" s="20">
        <v>90.55</v>
      </c>
      <c r="G73" s="20">
        <v>90.61</v>
      </c>
      <c r="H73" s="20">
        <v>91.33</v>
      </c>
      <c r="I73" s="20">
        <v>89.31</v>
      </c>
      <c r="J73" s="20">
        <v>88.66</v>
      </c>
      <c r="K73" s="20">
        <v>92.22</v>
      </c>
      <c r="L73" s="20">
        <v>93.75</v>
      </c>
      <c r="M73" s="20">
        <v>92.58</v>
      </c>
      <c r="N73" s="20">
        <v>92.66</v>
      </c>
      <c r="O73" s="20">
        <v>84.67</v>
      </c>
      <c r="P73" s="20">
        <v>83.58</v>
      </c>
      <c r="Q73" s="20">
        <v>90.71</v>
      </c>
      <c r="R73" s="20">
        <v>92.66</v>
      </c>
      <c r="S73" s="20">
        <v>94.51</v>
      </c>
      <c r="T73" s="20">
        <v>95.66</v>
      </c>
      <c r="U73" s="20">
        <v>94.33</v>
      </c>
      <c r="V73" s="20">
        <v>91.33</v>
      </c>
      <c r="W73" s="20">
        <v>88.79</v>
      </c>
      <c r="X73" s="20">
        <v>89.79</v>
      </c>
      <c r="Y73" s="20">
        <v>91.67</v>
      </c>
      <c r="Z73" s="20">
        <v>90.68</v>
      </c>
      <c r="AA73" s="20">
        <v>86.43</v>
      </c>
    </row>
    <row r="74" s="1" customFormat="1" ht="20" customHeight="1" spans="1:28">
      <c r="A74" s="15"/>
      <c r="B74" s="16"/>
      <c r="C74" s="17" t="s">
        <v>38</v>
      </c>
      <c r="D74" s="20">
        <v>86.585</v>
      </c>
      <c r="E74" s="20">
        <v>90.7667</v>
      </c>
      <c r="F74" s="20">
        <v>91.2806</v>
      </c>
      <c r="G74" s="20">
        <v>89.2056</v>
      </c>
      <c r="H74" s="20">
        <v>89.459</v>
      </c>
      <c r="I74" s="20">
        <v>89.0894</v>
      </c>
      <c r="J74" s="20">
        <v>84.3462</v>
      </c>
      <c r="K74" s="20">
        <v>86.5026</v>
      </c>
      <c r="L74" s="20">
        <v>95.4325</v>
      </c>
      <c r="M74" s="20">
        <v>95.4025</v>
      </c>
      <c r="N74" s="20">
        <v>95.3955</v>
      </c>
      <c r="O74" s="20">
        <v>89.2778</v>
      </c>
      <c r="P74" s="20">
        <v>89.232</v>
      </c>
      <c r="Q74" s="20">
        <v>98.1798</v>
      </c>
      <c r="R74" s="20">
        <v>96.1277</v>
      </c>
      <c r="S74" s="20">
        <v>97.9317</v>
      </c>
      <c r="T74" s="20">
        <v>98.4958</v>
      </c>
      <c r="U74" s="20">
        <v>94.5507</v>
      </c>
      <c r="V74" s="20">
        <v>92.048</v>
      </c>
      <c r="W74" s="20">
        <v>87.1429</v>
      </c>
      <c r="X74" s="20">
        <v>91.5376</v>
      </c>
      <c r="Y74" s="20">
        <v>91.3458</v>
      </c>
      <c r="Z74" s="20">
        <v>90.1278</v>
      </c>
      <c r="AA74" s="20">
        <v>85.492</v>
      </c>
      <c r="AB74" s="21">
        <f>MAX(K74:AA74)</f>
        <v>98.4958</v>
      </c>
    </row>
    <row r="75" s="1" customFormat="1" ht="14.25" hidden="1" spans="1:27">
      <c r="A75" s="15"/>
      <c r="B75" s="16"/>
      <c r="C75" s="17" t="s">
        <v>39</v>
      </c>
      <c r="D75" s="20">
        <f t="shared" ref="D75:AA75" si="23">D73-D74</f>
        <v>-0.924999999999997</v>
      </c>
      <c r="E75" s="20">
        <f t="shared" si="23"/>
        <v>-1.5167</v>
      </c>
      <c r="F75" s="20">
        <f t="shared" si="23"/>
        <v>-0.73060000000001</v>
      </c>
      <c r="G75" s="20">
        <f t="shared" si="23"/>
        <v>1.4044</v>
      </c>
      <c r="H75" s="20">
        <f t="shared" si="23"/>
        <v>1.871</v>
      </c>
      <c r="I75" s="20">
        <f t="shared" si="23"/>
        <v>0.220600000000005</v>
      </c>
      <c r="J75" s="20">
        <f t="shared" si="23"/>
        <v>4.3138</v>
      </c>
      <c r="K75" s="20">
        <f t="shared" si="23"/>
        <v>5.7174</v>
      </c>
      <c r="L75" s="20">
        <f t="shared" si="23"/>
        <v>-1.6825</v>
      </c>
      <c r="M75" s="20">
        <f t="shared" si="23"/>
        <v>-2.8225</v>
      </c>
      <c r="N75" s="20">
        <f t="shared" si="23"/>
        <v>-2.7355</v>
      </c>
      <c r="O75" s="20">
        <f t="shared" si="23"/>
        <v>-4.6078</v>
      </c>
      <c r="P75" s="20">
        <f t="shared" si="23"/>
        <v>-5.652</v>
      </c>
      <c r="Q75" s="20">
        <f t="shared" si="23"/>
        <v>-7.46980000000001</v>
      </c>
      <c r="R75" s="20">
        <f t="shared" si="23"/>
        <v>-3.46770000000001</v>
      </c>
      <c r="S75" s="20">
        <f t="shared" si="23"/>
        <v>-3.4217</v>
      </c>
      <c r="T75" s="20">
        <f t="shared" si="23"/>
        <v>-2.83580000000001</v>
      </c>
      <c r="U75" s="20">
        <f t="shared" si="23"/>
        <v>-0.220700000000008</v>
      </c>
      <c r="V75" s="20">
        <f t="shared" si="23"/>
        <v>-0.718000000000004</v>
      </c>
      <c r="W75" s="20">
        <f t="shared" si="23"/>
        <v>1.64710000000001</v>
      </c>
      <c r="X75" s="20">
        <f t="shared" si="23"/>
        <v>-1.74759999999999</v>
      </c>
      <c r="Y75" s="20">
        <f t="shared" si="23"/>
        <v>0.324200000000005</v>
      </c>
      <c r="Z75" s="20">
        <f t="shared" si="23"/>
        <v>0.552200000000013</v>
      </c>
      <c r="AA75" s="20">
        <f t="shared" si="23"/>
        <v>0.938000000000002</v>
      </c>
    </row>
    <row r="76" s="1" customFormat="1" ht="14.25" hidden="1" spans="1:27">
      <c r="A76" s="15">
        <v>46016</v>
      </c>
      <c r="B76" s="16">
        <v>4303121811816</v>
      </c>
      <c r="C76" s="17" t="s">
        <v>37</v>
      </c>
      <c r="D76" s="19">
        <v>86.11</v>
      </c>
      <c r="E76" s="19">
        <v>90.54</v>
      </c>
      <c r="F76" s="19">
        <v>91.31</v>
      </c>
      <c r="G76" s="19">
        <v>89.33</v>
      </c>
      <c r="H76" s="19">
        <v>89.58</v>
      </c>
      <c r="I76" s="19">
        <v>89.11</v>
      </c>
      <c r="J76" s="19">
        <v>84.54</v>
      </c>
      <c r="K76" s="19">
        <v>86.58</v>
      </c>
      <c r="L76" s="19">
        <v>92.57</v>
      </c>
      <c r="M76" s="19">
        <v>94.85</v>
      </c>
      <c r="N76" s="19">
        <v>95.77</v>
      </c>
      <c r="O76" s="19">
        <v>88.56</v>
      </c>
      <c r="P76" s="19">
        <v>90.12</v>
      </c>
      <c r="Q76" s="19">
        <v>95.52</v>
      </c>
      <c r="R76" s="19">
        <v>97.33</v>
      </c>
      <c r="S76" s="19">
        <v>96.22</v>
      </c>
      <c r="T76" s="19">
        <v>95.31</v>
      </c>
      <c r="U76" s="19">
        <v>95.28</v>
      </c>
      <c r="V76" s="19">
        <v>91.33</v>
      </c>
      <c r="W76" s="19">
        <v>87.61</v>
      </c>
      <c r="X76" s="19">
        <v>90.05</v>
      </c>
      <c r="Y76" s="19">
        <v>91.77</v>
      </c>
      <c r="Z76" s="19">
        <v>89.58</v>
      </c>
      <c r="AA76" s="19">
        <v>86.44</v>
      </c>
    </row>
    <row r="77" s="1" customFormat="1" ht="20" customHeight="1" spans="1:28">
      <c r="A77" s="15"/>
      <c r="B77" s="16"/>
      <c r="C77" s="17" t="s">
        <v>38</v>
      </c>
      <c r="D77" s="19">
        <v>86.1942</v>
      </c>
      <c r="E77" s="19">
        <v>91.483</v>
      </c>
      <c r="F77" s="19">
        <v>91.8245</v>
      </c>
      <c r="G77" s="19">
        <v>90.5819</v>
      </c>
      <c r="H77" s="19">
        <v>90.4429</v>
      </c>
      <c r="I77" s="19">
        <v>89.8304</v>
      </c>
      <c r="J77" s="19">
        <v>87.5917</v>
      </c>
      <c r="K77" s="19">
        <v>90.8952</v>
      </c>
      <c r="L77" s="19">
        <v>94.7122</v>
      </c>
      <c r="M77" s="19">
        <v>81.5414</v>
      </c>
      <c r="N77" s="19">
        <v>87.6797</v>
      </c>
      <c r="O77" s="19">
        <v>83.4241</v>
      </c>
      <c r="P77" s="19">
        <v>80.5886</v>
      </c>
      <c r="Q77" s="19">
        <v>90.4928</v>
      </c>
      <c r="R77" s="19">
        <v>91.6731</v>
      </c>
      <c r="S77" s="19">
        <v>94.3853</v>
      </c>
      <c r="T77" s="19">
        <v>97.9845</v>
      </c>
      <c r="U77" s="19">
        <v>98.1306</v>
      </c>
      <c r="V77" s="19">
        <v>90.7403</v>
      </c>
      <c r="W77" s="19">
        <v>86.7151</v>
      </c>
      <c r="X77" s="19">
        <v>92.7045</v>
      </c>
      <c r="Y77" s="19">
        <v>92.481</v>
      </c>
      <c r="Z77" s="19">
        <v>93.3504</v>
      </c>
      <c r="AA77" s="19">
        <v>87.6651</v>
      </c>
      <c r="AB77" s="21">
        <f>MAX(K77:AA77)</f>
        <v>98.1306</v>
      </c>
    </row>
    <row r="78" s="1" customFormat="1" ht="20" hidden="1" customHeight="1" spans="1:27">
      <c r="A78" s="15"/>
      <c r="B78" s="16"/>
      <c r="C78" s="17" t="s">
        <v>39</v>
      </c>
      <c r="D78" s="19">
        <f t="shared" ref="D78:AA78" si="24">D76-D77</f>
        <v>-0.0841999999999956</v>
      </c>
      <c r="E78" s="19">
        <f t="shared" si="24"/>
        <v>-0.942999999999998</v>
      </c>
      <c r="F78" s="19">
        <f t="shared" si="24"/>
        <v>-0.514499999999998</v>
      </c>
      <c r="G78" s="19">
        <f t="shared" si="24"/>
        <v>-1.25190000000001</v>
      </c>
      <c r="H78" s="19">
        <f t="shared" si="24"/>
        <v>-0.862899999999996</v>
      </c>
      <c r="I78" s="19">
        <f t="shared" si="24"/>
        <v>-0.720399999999998</v>
      </c>
      <c r="J78" s="19">
        <f t="shared" si="24"/>
        <v>-3.0517</v>
      </c>
      <c r="K78" s="19">
        <f t="shared" si="24"/>
        <v>-4.3152</v>
      </c>
      <c r="L78" s="19">
        <f t="shared" si="24"/>
        <v>-2.1422</v>
      </c>
      <c r="M78" s="19">
        <f t="shared" si="24"/>
        <v>13.3086</v>
      </c>
      <c r="N78" s="19">
        <f t="shared" si="24"/>
        <v>8.0903</v>
      </c>
      <c r="O78" s="19">
        <f t="shared" si="24"/>
        <v>5.13590000000001</v>
      </c>
      <c r="P78" s="19">
        <f t="shared" si="24"/>
        <v>9.5314</v>
      </c>
      <c r="Q78" s="19">
        <f t="shared" si="24"/>
        <v>5.02719999999999</v>
      </c>
      <c r="R78" s="19">
        <f t="shared" si="24"/>
        <v>5.65689999999999</v>
      </c>
      <c r="S78" s="19">
        <f t="shared" si="24"/>
        <v>1.8347</v>
      </c>
      <c r="T78" s="19">
        <f t="shared" si="24"/>
        <v>-2.67449999999999</v>
      </c>
      <c r="U78" s="19">
        <f t="shared" si="24"/>
        <v>-2.8506</v>
      </c>
      <c r="V78" s="19">
        <f t="shared" si="24"/>
        <v>0.589699999999993</v>
      </c>
      <c r="W78" s="19">
        <f t="shared" si="24"/>
        <v>0.894899999999993</v>
      </c>
      <c r="X78" s="19">
        <f t="shared" si="24"/>
        <v>-2.6545</v>
      </c>
      <c r="Y78" s="19">
        <f t="shared" si="24"/>
        <v>-0.710999999999999</v>
      </c>
      <c r="Z78" s="19">
        <f t="shared" si="24"/>
        <v>-3.77039999999999</v>
      </c>
      <c r="AA78" s="19">
        <f t="shared" si="24"/>
        <v>-1.2251</v>
      </c>
    </row>
    <row r="79" s="1" customFormat="1" ht="20" hidden="1" customHeight="1" spans="1:27">
      <c r="A79" s="15">
        <v>46017</v>
      </c>
      <c r="B79" s="16">
        <v>4303121811816</v>
      </c>
      <c r="C79" s="17" t="s">
        <v>37</v>
      </c>
      <c r="D79" s="20">
        <v>86.21</v>
      </c>
      <c r="E79" s="20">
        <v>90.55</v>
      </c>
      <c r="F79" s="20">
        <v>91.28</v>
      </c>
      <c r="G79" s="20">
        <v>89.41</v>
      </c>
      <c r="H79" s="20">
        <v>89.66</v>
      </c>
      <c r="I79" s="20">
        <v>89.31</v>
      </c>
      <c r="J79" s="20">
        <v>84.55</v>
      </c>
      <c r="K79" s="20">
        <v>86.71</v>
      </c>
      <c r="L79" s="20">
        <v>92.66</v>
      </c>
      <c r="M79" s="20">
        <v>94.77</v>
      </c>
      <c r="N79" s="20">
        <v>95.68</v>
      </c>
      <c r="O79" s="20">
        <v>88.61</v>
      </c>
      <c r="P79" s="20">
        <v>90.21</v>
      </c>
      <c r="Q79" s="20">
        <v>95.66</v>
      </c>
      <c r="R79" s="20">
        <v>97.54</v>
      </c>
      <c r="S79" s="20">
        <v>96.31</v>
      </c>
      <c r="T79" s="20">
        <v>95.28</v>
      </c>
      <c r="U79" s="20">
        <v>95.33</v>
      </c>
      <c r="V79" s="20">
        <v>91.25</v>
      </c>
      <c r="W79" s="20">
        <v>88.54</v>
      </c>
      <c r="X79" s="20">
        <v>90.11</v>
      </c>
      <c r="Y79" s="20">
        <v>91.71</v>
      </c>
      <c r="Z79" s="20">
        <v>90.22</v>
      </c>
      <c r="AA79" s="20">
        <v>86.58</v>
      </c>
    </row>
    <row r="80" s="1" customFormat="1" ht="20" customHeight="1" spans="1:28">
      <c r="A80" s="15"/>
      <c r="B80" s="16"/>
      <c r="C80" s="17" t="s">
        <v>38</v>
      </c>
      <c r="D80" s="20">
        <v>89.4115</v>
      </c>
      <c r="E80" s="20">
        <v>92.8189</v>
      </c>
      <c r="F80" s="20">
        <v>93.155</v>
      </c>
      <c r="G80" s="20">
        <v>91.5165</v>
      </c>
      <c r="H80" s="20">
        <v>92.3771</v>
      </c>
      <c r="I80" s="20">
        <v>91.5077</v>
      </c>
      <c r="J80" s="20">
        <v>87.7606</v>
      </c>
      <c r="K80" s="20">
        <v>89.019</v>
      </c>
      <c r="L80" s="20">
        <v>94.6563</v>
      </c>
      <c r="M80" s="20">
        <v>91.9653</v>
      </c>
      <c r="N80" s="20">
        <v>89.3562</v>
      </c>
      <c r="O80" s="20">
        <v>81.5619</v>
      </c>
      <c r="P80" s="20">
        <v>82.0336</v>
      </c>
      <c r="Q80" s="20">
        <v>90.7614</v>
      </c>
      <c r="R80" s="20">
        <v>92.4211</v>
      </c>
      <c r="S80" s="20">
        <v>95.4096</v>
      </c>
      <c r="T80" s="20">
        <v>95.9482</v>
      </c>
      <c r="U80" s="20">
        <v>95.473</v>
      </c>
      <c r="V80" s="20">
        <v>92.1818</v>
      </c>
      <c r="W80" s="20">
        <v>88.8413</v>
      </c>
      <c r="X80" s="20">
        <v>94.0914</v>
      </c>
      <c r="Y80" s="20">
        <v>93.1146</v>
      </c>
      <c r="Z80" s="20">
        <v>86.0888</v>
      </c>
      <c r="AA80" s="20">
        <v>86.3174</v>
      </c>
      <c r="AB80" s="21">
        <f>MAX(K80:AA80)</f>
        <v>95.9482</v>
      </c>
    </row>
    <row r="81" s="1" customFormat="1" ht="20" hidden="1" customHeight="1" spans="1:27">
      <c r="A81" s="15"/>
      <c r="B81" s="16"/>
      <c r="C81" s="17" t="s">
        <v>39</v>
      </c>
      <c r="D81" s="20">
        <f t="shared" ref="D81:AA81" si="25">D79-D80</f>
        <v>-3.20150000000001</v>
      </c>
      <c r="E81" s="20">
        <f t="shared" si="25"/>
        <v>-2.2689</v>
      </c>
      <c r="F81" s="20">
        <f t="shared" si="25"/>
        <v>-1.875</v>
      </c>
      <c r="G81" s="20">
        <f t="shared" si="25"/>
        <v>-2.1065</v>
      </c>
      <c r="H81" s="20">
        <f t="shared" si="25"/>
        <v>-2.7171</v>
      </c>
      <c r="I81" s="20">
        <f t="shared" si="25"/>
        <v>-2.1977</v>
      </c>
      <c r="J81" s="20">
        <f t="shared" si="25"/>
        <v>-3.2106</v>
      </c>
      <c r="K81" s="20">
        <f t="shared" si="25"/>
        <v>-2.30900000000001</v>
      </c>
      <c r="L81" s="20">
        <f t="shared" si="25"/>
        <v>-1.99630000000001</v>
      </c>
      <c r="M81" s="20">
        <f t="shared" si="25"/>
        <v>2.8047</v>
      </c>
      <c r="N81" s="20">
        <f t="shared" si="25"/>
        <v>6.32380000000001</v>
      </c>
      <c r="O81" s="20">
        <f t="shared" si="25"/>
        <v>7.04810000000001</v>
      </c>
      <c r="P81" s="20">
        <f t="shared" si="25"/>
        <v>8.17639999999999</v>
      </c>
      <c r="Q81" s="20">
        <f t="shared" si="25"/>
        <v>4.8986</v>
      </c>
      <c r="R81" s="20">
        <f t="shared" si="25"/>
        <v>5.11890000000001</v>
      </c>
      <c r="S81" s="20">
        <f t="shared" si="25"/>
        <v>0.900400000000005</v>
      </c>
      <c r="T81" s="20">
        <f t="shared" si="25"/>
        <v>-0.668199999999999</v>
      </c>
      <c r="U81" s="20">
        <f t="shared" si="25"/>
        <v>-0.143000000000001</v>
      </c>
      <c r="V81" s="20">
        <f t="shared" si="25"/>
        <v>-0.931799999999996</v>
      </c>
      <c r="W81" s="20">
        <f t="shared" si="25"/>
        <v>-0.301299999999998</v>
      </c>
      <c r="X81" s="20">
        <f t="shared" si="25"/>
        <v>-3.98139999999999</v>
      </c>
      <c r="Y81" s="20">
        <f t="shared" si="25"/>
        <v>-1.4046</v>
      </c>
      <c r="Z81" s="20">
        <f t="shared" si="25"/>
        <v>4.13119999999999</v>
      </c>
      <c r="AA81" s="20">
        <f t="shared" si="25"/>
        <v>0.262599999999992</v>
      </c>
    </row>
    <row r="82" s="1" customFormat="1" ht="20" hidden="1" customHeight="1" spans="1:27">
      <c r="A82" s="15">
        <v>46018</v>
      </c>
      <c r="B82" s="16">
        <v>4303121811816</v>
      </c>
      <c r="C82" s="17" t="s">
        <v>37</v>
      </c>
      <c r="D82" s="19">
        <v>86.54</v>
      </c>
      <c r="E82" s="19">
        <v>85.88</v>
      </c>
      <c r="F82" s="19">
        <v>85.18</v>
      </c>
      <c r="G82" s="19">
        <v>84.55</v>
      </c>
      <c r="H82" s="19">
        <v>82.52</v>
      </c>
      <c r="I82" s="19">
        <v>83.11</v>
      </c>
      <c r="J82" s="19">
        <v>79.12</v>
      </c>
      <c r="K82" s="19">
        <v>85.11</v>
      </c>
      <c r="L82" s="19">
        <v>91.58</v>
      </c>
      <c r="M82" s="19">
        <v>92.58</v>
      </c>
      <c r="N82" s="19">
        <v>93.11</v>
      </c>
      <c r="O82" s="19">
        <v>87.54</v>
      </c>
      <c r="P82" s="19">
        <v>88.62</v>
      </c>
      <c r="Q82" s="19">
        <v>92.11</v>
      </c>
      <c r="R82" s="19">
        <v>93.54</v>
      </c>
      <c r="S82" s="19">
        <v>93.28</v>
      </c>
      <c r="T82" s="19">
        <v>93.33</v>
      </c>
      <c r="U82" s="19">
        <v>93.54</v>
      </c>
      <c r="V82" s="19">
        <v>89.77</v>
      </c>
      <c r="W82" s="19">
        <v>86.58</v>
      </c>
      <c r="X82" s="19">
        <v>88.62</v>
      </c>
      <c r="Y82" s="19">
        <v>88.76</v>
      </c>
      <c r="Z82" s="19">
        <v>88.55</v>
      </c>
      <c r="AA82" s="19">
        <v>86.21</v>
      </c>
    </row>
    <row r="83" s="1" customFormat="1" ht="20" customHeight="1" spans="1:28">
      <c r="A83" s="15"/>
      <c r="B83" s="16"/>
      <c r="C83" s="17" t="s">
        <v>38</v>
      </c>
      <c r="D83" s="19">
        <v>87.743</v>
      </c>
      <c r="E83" s="19">
        <v>90.6699</v>
      </c>
      <c r="F83" s="19">
        <v>90.7388</v>
      </c>
      <c r="G83" s="19">
        <v>90.985</v>
      </c>
      <c r="H83" s="19">
        <v>90.8752</v>
      </c>
      <c r="I83" s="19">
        <v>90.8371</v>
      </c>
      <c r="J83" s="19">
        <v>88.4911</v>
      </c>
      <c r="K83" s="19">
        <v>88.3511</v>
      </c>
      <c r="L83" s="19">
        <v>97.5938</v>
      </c>
      <c r="M83" s="19">
        <v>90.2475</v>
      </c>
      <c r="N83" s="19">
        <v>89.2971</v>
      </c>
      <c r="O83" s="19">
        <v>81.7168</v>
      </c>
      <c r="P83" s="19">
        <v>80.6397</v>
      </c>
      <c r="Q83" s="19">
        <v>87.6973</v>
      </c>
      <c r="R83" s="19">
        <v>89.7952</v>
      </c>
      <c r="S83" s="19">
        <v>92.2205</v>
      </c>
      <c r="T83" s="19">
        <v>95.0629</v>
      </c>
      <c r="U83" s="19">
        <v>93.61</v>
      </c>
      <c r="V83" s="19">
        <v>91.4</v>
      </c>
      <c r="W83" s="19">
        <v>86.9299</v>
      </c>
      <c r="X83" s="19">
        <v>90.4869</v>
      </c>
      <c r="Y83" s="19">
        <v>91.5112</v>
      </c>
      <c r="Z83" s="19">
        <v>91.5499</v>
      </c>
      <c r="AA83" s="19">
        <v>85.6962</v>
      </c>
      <c r="AB83" s="21">
        <f>MAX(K83:AA83)</f>
        <v>97.5938</v>
      </c>
    </row>
    <row r="84" s="1" customFormat="1" ht="20" hidden="1" customHeight="1" spans="1:27">
      <c r="A84" s="15"/>
      <c r="B84" s="16"/>
      <c r="C84" s="17" t="s">
        <v>39</v>
      </c>
      <c r="D84" s="19">
        <f t="shared" ref="D84:AA84" si="26">D82-D83</f>
        <v>-1.20299999999999</v>
      </c>
      <c r="E84" s="19">
        <f t="shared" si="26"/>
        <v>-4.7899</v>
      </c>
      <c r="F84" s="19">
        <f t="shared" si="26"/>
        <v>-5.55879999999999</v>
      </c>
      <c r="G84" s="19">
        <f t="shared" si="26"/>
        <v>-6.435</v>
      </c>
      <c r="H84" s="19">
        <f t="shared" si="26"/>
        <v>-8.35520000000001</v>
      </c>
      <c r="I84" s="19">
        <f t="shared" si="26"/>
        <v>-7.72710000000001</v>
      </c>
      <c r="J84" s="19">
        <f t="shared" si="26"/>
        <v>-9.3711</v>
      </c>
      <c r="K84" s="19">
        <f t="shared" si="26"/>
        <v>-3.2411</v>
      </c>
      <c r="L84" s="19">
        <f t="shared" si="26"/>
        <v>-6.0138</v>
      </c>
      <c r="M84" s="19">
        <f t="shared" si="26"/>
        <v>2.3325</v>
      </c>
      <c r="N84" s="19">
        <f t="shared" si="26"/>
        <v>3.8129</v>
      </c>
      <c r="O84" s="19">
        <f t="shared" si="26"/>
        <v>5.8232</v>
      </c>
      <c r="P84" s="19">
        <f t="shared" si="26"/>
        <v>7.9803</v>
      </c>
      <c r="Q84" s="19">
        <f t="shared" si="26"/>
        <v>4.4127</v>
      </c>
      <c r="R84" s="19">
        <f t="shared" si="26"/>
        <v>3.74480000000001</v>
      </c>
      <c r="S84" s="19">
        <f t="shared" si="26"/>
        <v>1.0595</v>
      </c>
      <c r="T84" s="19">
        <f t="shared" si="26"/>
        <v>-1.7329</v>
      </c>
      <c r="U84" s="19">
        <f t="shared" si="26"/>
        <v>-0.0699999999999932</v>
      </c>
      <c r="V84" s="19">
        <f t="shared" si="26"/>
        <v>-1.63000000000001</v>
      </c>
      <c r="W84" s="19">
        <f t="shared" si="26"/>
        <v>-0.349900000000005</v>
      </c>
      <c r="X84" s="19">
        <f t="shared" si="26"/>
        <v>-1.8669</v>
      </c>
      <c r="Y84" s="19">
        <f t="shared" si="26"/>
        <v>-2.7512</v>
      </c>
      <c r="Z84" s="19">
        <f t="shared" si="26"/>
        <v>-2.9999</v>
      </c>
      <c r="AA84" s="19">
        <f t="shared" si="26"/>
        <v>0.513799999999989</v>
      </c>
    </row>
    <row r="85" s="1" customFormat="1" ht="14.25" hidden="1" spans="1:27">
      <c r="A85" s="15">
        <v>46019</v>
      </c>
      <c r="B85" s="16">
        <v>4303121811816</v>
      </c>
      <c r="C85" s="17" t="s">
        <v>37</v>
      </c>
      <c r="D85" s="20">
        <v>85.88</v>
      </c>
      <c r="E85" s="20">
        <v>84.31</v>
      </c>
      <c r="F85" s="20">
        <v>84.77</v>
      </c>
      <c r="G85" s="20">
        <v>84.58</v>
      </c>
      <c r="H85" s="20">
        <v>82.56</v>
      </c>
      <c r="I85" s="20">
        <v>82.71</v>
      </c>
      <c r="J85" s="20">
        <v>78.87</v>
      </c>
      <c r="K85" s="20">
        <v>71.21</v>
      </c>
      <c r="L85" s="20">
        <v>70.23</v>
      </c>
      <c r="M85" s="20">
        <v>68.88</v>
      </c>
      <c r="N85" s="20">
        <v>65.71</v>
      </c>
      <c r="O85" s="20">
        <v>62.44</v>
      </c>
      <c r="P85" s="20">
        <v>61.21</v>
      </c>
      <c r="Q85" s="20">
        <v>70.22</v>
      </c>
      <c r="R85" s="20">
        <v>75.85</v>
      </c>
      <c r="S85" s="20">
        <v>76.23</v>
      </c>
      <c r="T85" s="20">
        <v>73.62</v>
      </c>
      <c r="U85" s="20">
        <v>72.77</v>
      </c>
      <c r="V85" s="20">
        <v>70.35</v>
      </c>
      <c r="W85" s="20">
        <v>69.33</v>
      </c>
      <c r="X85" s="20">
        <v>73.88</v>
      </c>
      <c r="Y85" s="20">
        <v>73.54</v>
      </c>
      <c r="Z85" s="20">
        <v>73.23</v>
      </c>
      <c r="AA85" s="20">
        <v>72.21</v>
      </c>
    </row>
    <row r="86" s="1" customFormat="1" ht="14.25" spans="1:28">
      <c r="A86" s="15"/>
      <c r="B86" s="16"/>
      <c r="C86" s="17" t="s">
        <v>38</v>
      </c>
      <c r="D86" s="20">
        <v>87.6973</v>
      </c>
      <c r="E86" s="20">
        <v>89.3323</v>
      </c>
      <c r="F86" s="20">
        <v>90.7104</v>
      </c>
      <c r="G86" s="20">
        <v>88.4646</v>
      </c>
      <c r="H86" s="20">
        <v>87.9102</v>
      </c>
      <c r="I86" s="20">
        <v>85.4304</v>
      </c>
      <c r="J86" s="20">
        <v>82.2026</v>
      </c>
      <c r="K86" s="20">
        <v>79.8459</v>
      </c>
      <c r="L86" s="20">
        <v>78.7425</v>
      </c>
      <c r="M86" s="20">
        <v>75.8451</v>
      </c>
      <c r="N86" s="20">
        <v>70.627</v>
      </c>
      <c r="O86" s="20">
        <v>67.0529</v>
      </c>
      <c r="P86" s="20">
        <v>65.3884</v>
      </c>
      <c r="Q86" s="20">
        <v>70.4158</v>
      </c>
      <c r="R86" s="20">
        <v>74.1629</v>
      </c>
      <c r="S86" s="20">
        <v>78.019</v>
      </c>
      <c r="T86" s="20">
        <v>78.1669</v>
      </c>
      <c r="U86" s="20">
        <v>78.0595</v>
      </c>
      <c r="V86" s="20">
        <v>74.7069</v>
      </c>
      <c r="W86" s="20">
        <v>72.945</v>
      </c>
      <c r="X86" s="20">
        <v>75.0622</v>
      </c>
      <c r="Y86" s="20">
        <v>74.9408</v>
      </c>
      <c r="Z86" s="20">
        <v>74.932</v>
      </c>
      <c r="AA86" s="20">
        <v>72.0157</v>
      </c>
      <c r="AB86" s="21">
        <f>MAX(K86:AA86)</f>
        <v>79.8459</v>
      </c>
    </row>
    <row r="87" s="1" customFormat="1" ht="20" hidden="1" customHeight="1" spans="1:27">
      <c r="A87" s="15"/>
      <c r="B87" s="16"/>
      <c r="C87" s="17" t="s">
        <v>39</v>
      </c>
      <c r="D87" s="20">
        <f t="shared" ref="D87:AA87" si="27">D85-D86</f>
        <v>-1.8173</v>
      </c>
      <c r="E87" s="20">
        <f t="shared" si="27"/>
        <v>-5.0223</v>
      </c>
      <c r="F87" s="20">
        <f t="shared" si="27"/>
        <v>-5.94040000000001</v>
      </c>
      <c r="G87" s="20">
        <f t="shared" si="27"/>
        <v>-3.88460000000001</v>
      </c>
      <c r="H87" s="20">
        <f t="shared" si="27"/>
        <v>-5.3502</v>
      </c>
      <c r="I87" s="20">
        <f t="shared" si="27"/>
        <v>-2.72040000000001</v>
      </c>
      <c r="J87" s="20">
        <f t="shared" si="27"/>
        <v>-3.3326</v>
      </c>
      <c r="K87" s="20">
        <f t="shared" si="27"/>
        <v>-8.63590000000001</v>
      </c>
      <c r="L87" s="20">
        <f t="shared" si="27"/>
        <v>-8.5125</v>
      </c>
      <c r="M87" s="20">
        <f t="shared" si="27"/>
        <v>-6.96510000000001</v>
      </c>
      <c r="N87" s="20">
        <f t="shared" si="27"/>
        <v>-4.917</v>
      </c>
      <c r="O87" s="20">
        <f t="shared" si="27"/>
        <v>-4.6129</v>
      </c>
      <c r="P87" s="20">
        <f t="shared" si="27"/>
        <v>-4.1784</v>
      </c>
      <c r="Q87" s="20">
        <f t="shared" si="27"/>
        <v>-0.195800000000006</v>
      </c>
      <c r="R87" s="20">
        <f t="shared" si="27"/>
        <v>1.6871</v>
      </c>
      <c r="S87" s="20">
        <f t="shared" si="27"/>
        <v>-1.789</v>
      </c>
      <c r="T87" s="20">
        <f t="shared" si="27"/>
        <v>-4.54689999999999</v>
      </c>
      <c r="U87" s="20">
        <f t="shared" si="27"/>
        <v>-5.2895</v>
      </c>
      <c r="V87" s="20">
        <f t="shared" si="27"/>
        <v>-4.35690000000001</v>
      </c>
      <c r="W87" s="20">
        <f t="shared" si="27"/>
        <v>-3.61499999999999</v>
      </c>
      <c r="X87" s="20">
        <f t="shared" si="27"/>
        <v>-1.18220000000001</v>
      </c>
      <c r="Y87" s="20">
        <f t="shared" si="27"/>
        <v>-1.40079999999999</v>
      </c>
      <c r="Z87" s="20">
        <f t="shared" si="27"/>
        <v>-1.702</v>
      </c>
      <c r="AA87" s="20">
        <f t="shared" si="27"/>
        <v>0.194299999999998</v>
      </c>
    </row>
    <row r="88" s="1" customFormat="1" ht="20" hidden="1" customHeight="1" spans="1:27">
      <c r="A88" s="15">
        <v>46020</v>
      </c>
      <c r="B88" s="16">
        <v>4303121811816</v>
      </c>
      <c r="C88" s="17" t="s">
        <v>37</v>
      </c>
      <c r="D88" s="19">
        <v>71.99</v>
      </c>
      <c r="E88" s="19">
        <v>73.58</v>
      </c>
      <c r="F88" s="19">
        <v>73.66</v>
      </c>
      <c r="G88" s="19">
        <v>74.11</v>
      </c>
      <c r="H88" s="19">
        <v>74.25</v>
      </c>
      <c r="I88" s="19">
        <v>74.33</v>
      </c>
      <c r="J88" s="19">
        <v>73.68</v>
      </c>
      <c r="K88" s="19">
        <v>81.58</v>
      </c>
      <c r="L88" s="19">
        <v>92.67</v>
      </c>
      <c r="M88" s="19">
        <v>91.87</v>
      </c>
      <c r="N88" s="19">
        <v>89.66</v>
      </c>
      <c r="O88" s="19">
        <v>82.61</v>
      </c>
      <c r="P88" s="19">
        <v>82.58</v>
      </c>
      <c r="Q88" s="19">
        <v>89.93</v>
      </c>
      <c r="R88" s="19">
        <v>92.11</v>
      </c>
      <c r="S88" s="19">
        <v>91.76</v>
      </c>
      <c r="T88" s="19">
        <v>91.89</v>
      </c>
      <c r="U88" s="19">
        <v>91.55</v>
      </c>
      <c r="V88" s="19">
        <v>87.86</v>
      </c>
      <c r="W88" s="19">
        <v>86.58</v>
      </c>
      <c r="X88" s="19">
        <v>89.66</v>
      </c>
      <c r="Y88" s="19">
        <v>89.11</v>
      </c>
      <c r="Z88" s="19">
        <v>88.21</v>
      </c>
      <c r="AA88" s="19">
        <v>86.34</v>
      </c>
    </row>
    <row r="89" s="1" customFormat="1" ht="20" customHeight="1" spans="1:28">
      <c r="A89" s="15"/>
      <c r="B89" s="16"/>
      <c r="C89" s="17" t="s">
        <v>38</v>
      </c>
      <c r="D89" s="19">
        <v>71.9066</v>
      </c>
      <c r="E89" s="19">
        <v>74.9461</v>
      </c>
      <c r="F89" s="19">
        <v>75.4899</v>
      </c>
      <c r="G89" s="19">
        <v>76.1042</v>
      </c>
      <c r="H89" s="19">
        <v>73.5803</v>
      </c>
      <c r="I89" s="19">
        <v>75.5885</v>
      </c>
      <c r="J89" s="19">
        <v>73.8443</v>
      </c>
      <c r="K89" s="19">
        <v>79.7315</v>
      </c>
      <c r="L89" s="19">
        <v>83.4269</v>
      </c>
      <c r="M89" s="19">
        <v>83.7338</v>
      </c>
      <c r="N89" s="19">
        <v>81.3542</v>
      </c>
      <c r="O89" s="19">
        <v>78.8902</v>
      </c>
      <c r="P89" s="19">
        <v>70.8752</v>
      </c>
      <c r="Q89" s="19">
        <v>80.777</v>
      </c>
      <c r="R89" s="19">
        <v>81.627</v>
      </c>
      <c r="S89" s="19">
        <v>82.5669</v>
      </c>
      <c r="T89" s="19">
        <v>85.441</v>
      </c>
      <c r="U89" s="19">
        <v>85.3494</v>
      </c>
      <c r="V89" s="19">
        <v>80.5059</v>
      </c>
      <c r="W89" s="19">
        <v>77.7234</v>
      </c>
      <c r="X89" s="19">
        <v>81.9896</v>
      </c>
      <c r="Y89" s="19">
        <v>81.1395</v>
      </c>
      <c r="Z89" s="19">
        <v>82.3891</v>
      </c>
      <c r="AA89" s="19">
        <v>77.9346</v>
      </c>
      <c r="AB89" s="21">
        <f>MAX(K89:AA89)</f>
        <v>85.441</v>
      </c>
    </row>
    <row r="90" s="1" customFormat="1" ht="20" hidden="1" customHeight="1" spans="1:27">
      <c r="A90" s="15"/>
      <c r="B90" s="16"/>
      <c r="C90" s="17" t="s">
        <v>39</v>
      </c>
      <c r="D90" s="19">
        <f t="shared" ref="D90:AA90" si="28">D88-D89</f>
        <v>0.0833999999999975</v>
      </c>
      <c r="E90" s="19">
        <f t="shared" si="28"/>
        <v>-1.3661</v>
      </c>
      <c r="F90" s="19">
        <f t="shared" si="28"/>
        <v>-1.82990000000001</v>
      </c>
      <c r="G90" s="19">
        <f t="shared" si="28"/>
        <v>-1.99420000000001</v>
      </c>
      <c r="H90" s="19">
        <f t="shared" si="28"/>
        <v>0.669700000000006</v>
      </c>
      <c r="I90" s="19">
        <f t="shared" si="28"/>
        <v>-1.2585</v>
      </c>
      <c r="J90" s="19">
        <f t="shared" si="28"/>
        <v>-0.164299999999997</v>
      </c>
      <c r="K90" s="19">
        <f t="shared" si="28"/>
        <v>1.8485</v>
      </c>
      <c r="L90" s="19">
        <f t="shared" si="28"/>
        <v>9.2431</v>
      </c>
      <c r="M90" s="19">
        <f t="shared" si="28"/>
        <v>8.1362</v>
      </c>
      <c r="N90" s="19">
        <f t="shared" si="28"/>
        <v>8.30579999999999</v>
      </c>
      <c r="O90" s="19">
        <f t="shared" si="28"/>
        <v>3.71980000000001</v>
      </c>
      <c r="P90" s="19">
        <f t="shared" si="28"/>
        <v>11.7048</v>
      </c>
      <c r="Q90" s="19">
        <f t="shared" si="28"/>
        <v>9.15300000000001</v>
      </c>
      <c r="R90" s="19">
        <f t="shared" si="28"/>
        <v>10.483</v>
      </c>
      <c r="S90" s="19">
        <f t="shared" si="28"/>
        <v>9.1931</v>
      </c>
      <c r="T90" s="19">
        <f t="shared" si="28"/>
        <v>6.449</v>
      </c>
      <c r="U90" s="19">
        <f t="shared" si="28"/>
        <v>6.20059999999999</v>
      </c>
      <c r="V90" s="19">
        <f t="shared" si="28"/>
        <v>7.3541</v>
      </c>
      <c r="W90" s="19">
        <f t="shared" si="28"/>
        <v>8.8566</v>
      </c>
      <c r="X90" s="19">
        <f t="shared" si="28"/>
        <v>7.6704</v>
      </c>
      <c r="Y90" s="19">
        <f t="shared" si="28"/>
        <v>7.9705</v>
      </c>
      <c r="Z90" s="19">
        <f t="shared" si="28"/>
        <v>5.82089999999999</v>
      </c>
      <c r="AA90" s="19">
        <f t="shared" si="28"/>
        <v>8.4054</v>
      </c>
    </row>
    <row r="91" s="1" customFormat="1" ht="20" hidden="1" customHeight="1" spans="1:27">
      <c r="A91" s="15">
        <v>46021</v>
      </c>
      <c r="B91" s="16">
        <v>4303121811816</v>
      </c>
      <c r="C91" s="17" t="s">
        <v>37</v>
      </c>
      <c r="D91" s="20">
        <v>86.55</v>
      </c>
      <c r="E91" s="20">
        <v>90.25</v>
      </c>
      <c r="F91" s="20">
        <v>90.65</v>
      </c>
      <c r="G91" s="20">
        <v>89.33</v>
      </c>
      <c r="H91" s="20">
        <v>91.68</v>
      </c>
      <c r="I91" s="20">
        <v>91.58</v>
      </c>
      <c r="J91" s="20">
        <v>85.35</v>
      </c>
      <c r="K91" s="20">
        <v>87.11</v>
      </c>
      <c r="L91" s="20">
        <v>92.77</v>
      </c>
      <c r="M91" s="20">
        <v>91.76</v>
      </c>
      <c r="N91" s="20">
        <v>89.74</v>
      </c>
      <c r="O91" s="20">
        <v>82.58</v>
      </c>
      <c r="P91" s="20">
        <v>82.63</v>
      </c>
      <c r="Q91" s="20">
        <v>89.34</v>
      </c>
      <c r="R91" s="20">
        <v>92.22</v>
      </c>
      <c r="S91" s="20">
        <v>91.67</v>
      </c>
      <c r="T91" s="20">
        <v>91.88</v>
      </c>
      <c r="U91" s="20">
        <v>91.56</v>
      </c>
      <c r="V91" s="20">
        <v>87.76</v>
      </c>
      <c r="W91" s="20">
        <v>86.61</v>
      </c>
      <c r="X91" s="20">
        <v>89.54</v>
      </c>
      <c r="Y91" s="20">
        <v>89.28</v>
      </c>
      <c r="Z91" s="20">
        <v>88.41</v>
      </c>
      <c r="AA91" s="20">
        <v>86.33</v>
      </c>
    </row>
    <row r="92" s="1" customFormat="1" ht="20" customHeight="1" spans="1:28">
      <c r="A92" s="15"/>
      <c r="B92" s="16"/>
      <c r="C92" s="17" t="s">
        <v>38</v>
      </c>
      <c r="D92" s="20">
        <v>77.2658</v>
      </c>
      <c r="E92" s="20">
        <v>80.9248</v>
      </c>
      <c r="F92" s="20">
        <v>81.1994</v>
      </c>
      <c r="G92" s="20">
        <v>81.1378</v>
      </c>
      <c r="H92" s="20">
        <v>80.3704</v>
      </c>
      <c r="I92" s="20">
        <v>78.9536</v>
      </c>
      <c r="J92" s="20">
        <v>73.2424</v>
      </c>
      <c r="K92" s="20">
        <v>75.2911</v>
      </c>
      <c r="L92" s="20">
        <v>83.4786</v>
      </c>
      <c r="M92" s="20">
        <v>82.5596</v>
      </c>
      <c r="N92" s="20">
        <v>81.0744</v>
      </c>
      <c r="O92" s="20">
        <v>77.5815</v>
      </c>
      <c r="P92" s="20">
        <v>73.9851</v>
      </c>
      <c r="Q92" s="20">
        <v>76.8803</v>
      </c>
      <c r="R92" s="20">
        <v>77.9504</v>
      </c>
      <c r="S92" s="20">
        <v>78.2302</v>
      </c>
      <c r="T92" s="20">
        <v>76.208</v>
      </c>
      <c r="U92" s="20">
        <v>71.4701</v>
      </c>
      <c r="V92" s="20">
        <v>64.5656</v>
      </c>
      <c r="W92" s="20">
        <v>62.9042</v>
      </c>
      <c r="X92" s="20">
        <v>64.6061</v>
      </c>
      <c r="Y92" s="20">
        <v>62.341</v>
      </c>
      <c r="Z92" s="20">
        <v>61.5525</v>
      </c>
      <c r="AA92" s="20">
        <v>59.5496</v>
      </c>
      <c r="AB92" s="21">
        <f>MAX(K92:AA92)</f>
        <v>83.4786</v>
      </c>
    </row>
    <row r="93" s="1" customFormat="1" ht="20" hidden="1" customHeight="1" spans="1:27">
      <c r="A93" s="15"/>
      <c r="B93" s="16"/>
      <c r="C93" s="17" t="s">
        <v>39</v>
      </c>
      <c r="D93" s="20">
        <f t="shared" ref="D93:AA93" si="29">D91-D92</f>
        <v>9.2842</v>
      </c>
      <c r="E93" s="20">
        <f t="shared" si="29"/>
        <v>9.3252</v>
      </c>
      <c r="F93" s="20">
        <f t="shared" si="29"/>
        <v>9.45060000000001</v>
      </c>
      <c r="G93" s="20">
        <f t="shared" si="29"/>
        <v>8.1922</v>
      </c>
      <c r="H93" s="20">
        <f t="shared" si="29"/>
        <v>11.3096</v>
      </c>
      <c r="I93" s="20">
        <f t="shared" si="29"/>
        <v>12.6264</v>
      </c>
      <c r="J93" s="20">
        <f t="shared" si="29"/>
        <v>12.1076</v>
      </c>
      <c r="K93" s="20">
        <f t="shared" si="29"/>
        <v>11.8189</v>
      </c>
      <c r="L93" s="20">
        <f t="shared" si="29"/>
        <v>9.2914</v>
      </c>
      <c r="M93" s="20">
        <f t="shared" si="29"/>
        <v>9.2004</v>
      </c>
      <c r="N93" s="20">
        <f t="shared" si="29"/>
        <v>8.6656</v>
      </c>
      <c r="O93" s="20">
        <f t="shared" si="29"/>
        <v>4.99849999999999</v>
      </c>
      <c r="P93" s="20">
        <f t="shared" si="29"/>
        <v>8.64489999999999</v>
      </c>
      <c r="Q93" s="20">
        <f t="shared" si="29"/>
        <v>12.4597</v>
      </c>
      <c r="R93" s="20">
        <f t="shared" si="29"/>
        <v>14.2696</v>
      </c>
      <c r="S93" s="20">
        <f t="shared" si="29"/>
        <v>13.4398</v>
      </c>
      <c r="T93" s="20">
        <f t="shared" si="29"/>
        <v>15.672</v>
      </c>
      <c r="U93" s="20">
        <f t="shared" si="29"/>
        <v>20.0899</v>
      </c>
      <c r="V93" s="20">
        <f t="shared" si="29"/>
        <v>23.1944</v>
      </c>
      <c r="W93" s="20">
        <f t="shared" ref="W93:AA93" si="30">W91-W92</f>
        <v>23.7058</v>
      </c>
      <c r="X93" s="20">
        <f t="shared" si="30"/>
        <v>24.9339</v>
      </c>
      <c r="Y93" s="20">
        <f t="shared" si="30"/>
        <v>26.939</v>
      </c>
      <c r="Z93" s="20">
        <f t="shared" si="30"/>
        <v>26.8575</v>
      </c>
      <c r="AA93" s="20">
        <f t="shared" si="30"/>
        <v>26.7804</v>
      </c>
    </row>
    <row r="94" s="1" customFormat="1" ht="20" hidden="1" customHeight="1" spans="1:27">
      <c r="A94" s="15">
        <v>46022</v>
      </c>
      <c r="B94" s="16">
        <v>4303121811816</v>
      </c>
      <c r="C94" s="17" t="s">
        <v>37</v>
      </c>
      <c r="D94" s="20">
        <v>55.38</v>
      </c>
      <c r="E94" s="20">
        <v>56.12</v>
      </c>
      <c r="F94" s="20">
        <v>55.59</v>
      </c>
      <c r="G94" s="20">
        <v>55.38</v>
      </c>
      <c r="H94" s="20">
        <v>51.2</v>
      </c>
      <c r="I94" s="20">
        <v>48.37</v>
      </c>
      <c r="J94" s="20">
        <v>42.54</v>
      </c>
      <c r="K94" s="20">
        <v>37.38</v>
      </c>
      <c r="L94" s="20">
        <v>38.12</v>
      </c>
      <c r="M94" s="20">
        <v>37.59</v>
      </c>
      <c r="N94" s="20">
        <v>36.38</v>
      </c>
      <c r="O94" s="20">
        <v>32.12</v>
      </c>
      <c r="P94" s="20">
        <v>31.54</v>
      </c>
      <c r="Q94" s="20">
        <v>32.38</v>
      </c>
      <c r="R94" s="20">
        <v>33.49</v>
      </c>
      <c r="S94" s="20">
        <v>34.52</v>
      </c>
      <c r="T94" s="20">
        <v>30.13</v>
      </c>
      <c r="U94" s="20">
        <v>24.38</v>
      </c>
      <c r="V94" s="20">
        <v>20.38</v>
      </c>
      <c r="W94" s="20">
        <v>18.34</v>
      </c>
      <c r="X94" s="20">
        <v>18.12</v>
      </c>
      <c r="Y94" s="20">
        <v>17.49</v>
      </c>
      <c r="Z94" s="20">
        <v>16.73</v>
      </c>
      <c r="AA94" s="20">
        <v>15.33</v>
      </c>
    </row>
    <row r="95" s="1" customFormat="1" ht="20" customHeight="1" spans="1:28">
      <c r="A95" s="15"/>
      <c r="B95" s="16"/>
      <c r="C95" s="17" t="s">
        <v>38</v>
      </c>
      <c r="D95" s="20">
        <v>58.0853</v>
      </c>
      <c r="E95" s="20">
        <v>59.0163</v>
      </c>
      <c r="F95" s="20">
        <v>54.6762</v>
      </c>
      <c r="G95" s="20">
        <v>50.5789</v>
      </c>
      <c r="H95" s="20">
        <v>48.877</v>
      </c>
      <c r="I95" s="20">
        <v>44.2323</v>
      </c>
      <c r="J95" s="20">
        <v>37.5654</v>
      </c>
      <c r="K95" s="20">
        <v>35.6712</v>
      </c>
      <c r="L95" s="20">
        <v>31.0464</v>
      </c>
      <c r="M95" s="20">
        <v>24.728</v>
      </c>
      <c r="N95" s="20">
        <v>24.5573</v>
      </c>
      <c r="O95" s="20">
        <v>23.2461</v>
      </c>
      <c r="P95" s="20">
        <v>23.7125</v>
      </c>
      <c r="Q95" s="20">
        <v>24.321</v>
      </c>
      <c r="R95" s="20">
        <v>25.6995</v>
      </c>
      <c r="S95" s="20">
        <v>25.2894</v>
      </c>
      <c r="T95" s="20">
        <v>23.7864</v>
      </c>
      <c r="U95" s="20">
        <v>21.8152</v>
      </c>
      <c r="V95" s="20">
        <v>21.1746</v>
      </c>
      <c r="W95" s="20">
        <v>22.0792</v>
      </c>
      <c r="X95" s="20">
        <v>19.2421</v>
      </c>
      <c r="Y95" s="20">
        <v>18.9798</v>
      </c>
      <c r="Z95" s="20">
        <v>18.964</v>
      </c>
      <c r="AA95" s="20">
        <v>18.9218</v>
      </c>
      <c r="AB95" s="21">
        <f>MAX(K95:AA95)</f>
        <v>35.6712</v>
      </c>
    </row>
    <row r="96" s="1" customFormat="1" ht="20" hidden="1" customHeight="1" spans="1:27">
      <c r="A96" s="15"/>
      <c r="B96" s="16"/>
      <c r="C96" s="17" t="s">
        <v>39</v>
      </c>
      <c r="D96" s="20">
        <f t="shared" ref="D96:AA96" si="31">D94-D95</f>
        <v>-2.70529999999999</v>
      </c>
      <c r="E96" s="20">
        <f t="shared" si="31"/>
        <v>-2.8963</v>
      </c>
      <c r="F96" s="20">
        <f t="shared" si="31"/>
        <v>0.913800000000002</v>
      </c>
      <c r="G96" s="20">
        <f t="shared" si="31"/>
        <v>4.80110000000001</v>
      </c>
      <c r="H96" s="20">
        <f t="shared" si="31"/>
        <v>2.323</v>
      </c>
      <c r="I96" s="20">
        <f t="shared" si="31"/>
        <v>4.1377</v>
      </c>
      <c r="J96" s="20">
        <f t="shared" si="31"/>
        <v>4.9746</v>
      </c>
      <c r="K96" s="20">
        <f t="shared" si="31"/>
        <v>1.7088</v>
      </c>
      <c r="L96" s="20">
        <f t="shared" si="31"/>
        <v>7.0736</v>
      </c>
      <c r="M96" s="20">
        <f t="shared" si="31"/>
        <v>12.862</v>
      </c>
      <c r="N96" s="20">
        <f t="shared" si="31"/>
        <v>11.8227</v>
      </c>
      <c r="O96" s="20">
        <f t="shared" si="31"/>
        <v>8.8739</v>
      </c>
      <c r="P96" s="20">
        <f t="shared" si="31"/>
        <v>7.8275</v>
      </c>
      <c r="Q96" s="20">
        <f t="shared" si="31"/>
        <v>8.059</v>
      </c>
      <c r="R96" s="20">
        <f t="shared" si="31"/>
        <v>7.7905</v>
      </c>
      <c r="S96" s="20">
        <f t="shared" si="31"/>
        <v>9.2306</v>
      </c>
      <c r="T96" s="20">
        <f t="shared" si="31"/>
        <v>6.3436</v>
      </c>
      <c r="U96" s="20">
        <f t="shared" si="31"/>
        <v>2.5648</v>
      </c>
      <c r="V96" s="20">
        <f t="shared" si="31"/>
        <v>-0.794600000000003</v>
      </c>
      <c r="W96" s="20">
        <f t="shared" si="31"/>
        <v>-3.7392</v>
      </c>
      <c r="X96" s="20">
        <f t="shared" si="31"/>
        <v>-1.1221</v>
      </c>
      <c r="Y96" s="20">
        <f t="shared" si="31"/>
        <v>-1.4898</v>
      </c>
      <c r="Z96" s="20">
        <f t="shared" si="31"/>
        <v>-2.234</v>
      </c>
      <c r="AA96" s="20">
        <f t="shared" si="31"/>
        <v>-3.5918</v>
      </c>
    </row>
    <row r="97" s="1" customFormat="1" ht="20" customHeight="1" spans="1:28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1"/>
    </row>
    <row r="98" s="1" customFormat="1" ht="20" customHeight="1" spans="1:28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1"/>
    </row>
    <row r="99" s="1" customFormat="1" ht="20" customHeight="1" spans="1:28">
      <c r="A99" s="26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1"/>
    </row>
    <row r="100" s="1" customFormat="1" ht="20" customHeight="1" spans="1:28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1"/>
    </row>
    <row r="101" s="1" customFormat="1" ht="20" customHeight="1" spans="1:28">
      <c r="A101" s="26"/>
      <c r="B101" s="26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1"/>
    </row>
    <row r="102" s="1" customFormat="1" ht="20" customHeight="1" spans="1:28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1"/>
    </row>
    <row r="103" s="1" customFormat="1" ht="20" customHeight="1" spans="1:28">
      <c r="A103" s="26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1"/>
    </row>
    <row r="104" s="1" customFormat="1" ht="20" customHeight="1" spans="1:28">
      <c r="A104" s="26"/>
      <c r="B104" s="28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1"/>
    </row>
    <row r="105" s="1" customFormat="1" ht="14.25" spans="1:28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1"/>
    </row>
    <row r="106" s="1" customFormat="1" ht="14.25" spans="1:28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1"/>
    </row>
    <row r="107" s="1" customFormat="1" ht="20" customHeight="1" spans="1:28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1"/>
    </row>
    <row r="108" s="1" customFormat="1" ht="20" customHeight="1" spans="1:28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1"/>
    </row>
    <row r="109" s="1" customFormat="1" ht="20" customHeight="1" spans="1:28">
      <c r="A109" s="26"/>
      <c r="B109" s="26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1"/>
    </row>
    <row r="110" s="1" customFormat="1" ht="20" customHeight="1" spans="1:28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1"/>
    </row>
    <row r="111" s="1" customFormat="1" ht="20" customHeight="1" spans="1:28">
      <c r="A111" s="26"/>
      <c r="B111" s="26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1"/>
    </row>
    <row r="112" s="1" customFormat="1" ht="20" customHeight="1" spans="1:28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1"/>
    </row>
    <row r="113" s="1" customFormat="1" ht="20" customHeight="1" spans="1:28">
      <c r="A113" s="26"/>
      <c r="B113" s="26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1"/>
    </row>
    <row r="114" s="1" customFormat="1" ht="20" customHeight="1" spans="1:28">
      <c r="A114" s="26"/>
      <c r="B114" s="28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1"/>
    </row>
    <row r="115" s="1" customFormat="1" ht="14.25" spans="1:28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1"/>
    </row>
    <row r="116" s="1" customFormat="1" ht="14.25" spans="1:28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1"/>
    </row>
    <row r="117" s="1" customFormat="1" ht="20" customHeight="1" spans="1:28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1"/>
    </row>
    <row r="118" s="1" customFormat="1" ht="20" customHeight="1" spans="1:28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1"/>
    </row>
    <row r="119" s="1" customFormat="1" ht="20" customHeight="1" spans="1:28">
      <c r="A119" s="26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1"/>
    </row>
    <row r="120" s="1" customFormat="1" ht="20" customHeight="1" spans="1:28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1"/>
    </row>
    <row r="121" s="1" customFormat="1" ht="20" customHeight="1" spans="1:28">
      <c r="A121" s="26"/>
      <c r="B121" s="26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1"/>
    </row>
    <row r="122" s="1" customFormat="1" ht="20" customHeight="1" spans="1:28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1"/>
    </row>
    <row r="123" s="1" customFormat="1" ht="20" customHeight="1" spans="1:28">
      <c r="A123" s="26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1"/>
    </row>
    <row r="124" s="1" customFormat="1" ht="20" customHeight="1" spans="1:28">
      <c r="A124" s="26"/>
      <c r="B124" s="28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1"/>
    </row>
    <row r="125" s="1" customFormat="1" ht="14.25" spans="1:28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1"/>
    </row>
    <row r="126" s="1" customFormat="1" ht="14.25" spans="1:28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1"/>
    </row>
    <row r="127" s="1" customFormat="1" ht="20" customHeight="1" spans="1:28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1"/>
    </row>
    <row r="128" s="1" customFormat="1" ht="20" customHeight="1" spans="1:28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1"/>
    </row>
    <row r="129" s="1" customFormat="1" ht="20" customHeight="1" spans="1:28">
      <c r="A129" s="26"/>
      <c r="B129" s="26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1"/>
    </row>
    <row r="130" s="1" customFormat="1" ht="20" customHeight="1" spans="1:28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1"/>
    </row>
    <row r="131" s="1" customFormat="1" ht="20" customHeight="1" spans="1:28">
      <c r="A131" s="26"/>
      <c r="B131" s="26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1"/>
    </row>
    <row r="132" s="1" customFormat="1" ht="20" customHeight="1" spans="1:28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1"/>
    </row>
    <row r="133" s="1" customFormat="1" ht="20" customHeight="1" spans="1:28">
      <c r="A133" s="26"/>
      <c r="B133" s="26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1"/>
    </row>
    <row r="134" s="1" customFormat="1" ht="20" customHeight="1" spans="1:28">
      <c r="A134" s="26"/>
      <c r="B134" s="28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1"/>
    </row>
    <row r="135" s="1" customFormat="1" ht="14.25" spans="1:28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1"/>
    </row>
    <row r="136" s="1" customFormat="1" ht="14.25" spans="1:28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1"/>
    </row>
    <row r="137" s="1" customFormat="1" ht="20" customHeight="1" spans="1:28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1"/>
    </row>
    <row r="138" s="1" customFormat="1" ht="20" customHeight="1" spans="1:28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1"/>
    </row>
    <row r="139" s="1" customFormat="1" ht="20" customHeight="1" spans="1:28">
      <c r="A139" s="26"/>
      <c r="B139" s="26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1"/>
    </row>
    <row r="140" s="1" customFormat="1" ht="20" customHeight="1" spans="1:28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1"/>
    </row>
    <row r="141" s="1" customFormat="1" ht="20" customHeight="1" spans="1:28">
      <c r="A141" s="26"/>
      <c r="B141" s="26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1"/>
    </row>
    <row r="142" s="1" customFormat="1" ht="20" customHeight="1" spans="1:28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1"/>
    </row>
    <row r="143" s="1" customFormat="1" ht="20" customHeight="1" spans="1:28">
      <c r="A143" s="26"/>
      <c r="B143" s="26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1"/>
    </row>
    <row r="144" s="1" customFormat="1" ht="20" customHeight="1" spans="1:28">
      <c r="A144" s="26"/>
      <c r="B144" s="28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1"/>
    </row>
    <row r="145" s="1" customFormat="1" ht="14.25" spans="1:28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1"/>
    </row>
    <row r="146" s="1" customFormat="1" ht="14.25" spans="1:28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1"/>
    </row>
    <row r="147" s="1" customFormat="1" ht="20" customHeight="1" spans="1:28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1"/>
    </row>
    <row r="148" s="1" customFormat="1" ht="20" customHeight="1" spans="1:28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1"/>
    </row>
    <row r="149" s="1" customFormat="1" ht="20" customHeight="1" spans="1:28">
      <c r="A149" s="26"/>
      <c r="B149" s="26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1"/>
    </row>
    <row r="150" s="1" customFormat="1" ht="20" customHeight="1" spans="1:28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1"/>
    </row>
    <row r="151" s="1" customFormat="1" ht="20" customHeight="1" spans="1:28">
      <c r="A151" s="26"/>
      <c r="B151" s="26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1"/>
    </row>
    <row r="152" s="1" customFormat="1" ht="20" customHeight="1" spans="1:28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1"/>
    </row>
    <row r="153" s="1" customFormat="1" ht="20" customHeight="1" spans="1:28">
      <c r="A153" s="26"/>
      <c r="B153" s="26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1"/>
    </row>
    <row r="154" s="1" customFormat="1" ht="20" customHeight="1" spans="1:28">
      <c r="A154" s="26"/>
      <c r="B154" s="28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1"/>
    </row>
    <row r="155" s="1" customFormat="1" ht="14.25" spans="1:28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1"/>
    </row>
    <row r="156" s="1" customFormat="1" ht="14.25" spans="1:28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1"/>
    </row>
    <row r="157" s="1" customFormat="1" ht="20" customHeight="1" spans="1:28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1"/>
    </row>
    <row r="158" s="1" customFormat="1" ht="20" customHeight="1" spans="1:28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1"/>
    </row>
    <row r="159" s="1" customFormat="1" ht="20" customHeight="1" spans="1:28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1"/>
    </row>
    <row r="160" s="1" customFormat="1" ht="20" customHeight="1" spans="1:28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1"/>
    </row>
    <row r="161" s="1" customFormat="1" ht="20" customHeight="1" spans="1:28">
      <c r="A161" s="26"/>
      <c r="B161" s="26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1"/>
    </row>
    <row r="162" s="1" customFormat="1" ht="20" customHeight="1" spans="1:28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1"/>
    </row>
    <row r="163" s="1" customFormat="1" ht="20" customHeight="1" spans="1:28">
      <c r="A163" s="26"/>
      <c r="B163" s="26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1"/>
    </row>
    <row r="164" s="1" customFormat="1" ht="20" customHeight="1" spans="1:28">
      <c r="A164" s="26"/>
      <c r="B164" s="28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1"/>
    </row>
    <row r="165" s="1" customFormat="1" ht="14.25" spans="1:28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1"/>
    </row>
    <row r="166" s="1" customFormat="1" ht="14.25" spans="1:28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1"/>
    </row>
    <row r="167" s="1" customFormat="1" ht="20" customHeight="1" spans="1:28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1"/>
    </row>
    <row r="168" s="1" customFormat="1" ht="20" customHeight="1" spans="1:28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1"/>
    </row>
    <row r="169" s="1" customFormat="1" ht="20" customHeight="1" spans="1:28">
      <c r="A169" s="26"/>
      <c r="B169" s="26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1"/>
    </row>
    <row r="170" s="1" customFormat="1" ht="20" customHeight="1" spans="1:28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1"/>
    </row>
    <row r="171" s="1" customFormat="1" ht="20" customHeight="1" spans="1:28">
      <c r="A171" s="26"/>
      <c r="B171" s="26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1"/>
    </row>
    <row r="172" s="1" customFormat="1" ht="20" customHeight="1" spans="1:28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1"/>
    </row>
    <row r="173" s="1" customFormat="1" ht="20" customHeight="1" spans="1:28">
      <c r="A173" s="26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1"/>
    </row>
    <row r="174" s="1" customFormat="1" ht="20" customHeight="1" spans="1:28">
      <c r="A174" s="26"/>
      <c r="B174" s="28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1"/>
    </row>
    <row r="175" s="1" customFormat="1" ht="14.25" spans="1:28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1"/>
    </row>
    <row r="176" s="1" customFormat="1" ht="14.25" spans="1:28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1"/>
    </row>
    <row r="177" s="1" customFormat="1" ht="20" customHeight="1" spans="1:28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1"/>
    </row>
    <row r="178" s="1" customFormat="1" ht="20" customHeight="1" spans="1:28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1"/>
    </row>
    <row r="179" s="1" customFormat="1" ht="20" customHeight="1" spans="1:28">
      <c r="A179" s="26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1"/>
    </row>
    <row r="180" s="1" customFormat="1" ht="20" customHeight="1" spans="1:28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1"/>
    </row>
    <row r="181" s="1" customFormat="1" ht="20" customHeight="1" spans="1:28">
      <c r="A181" s="26"/>
      <c r="B181" s="26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1"/>
    </row>
    <row r="182" s="1" customFormat="1" ht="20" customHeight="1" spans="1:28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1"/>
    </row>
    <row r="183" s="1" customFormat="1" ht="20" customHeight="1" spans="1:28">
      <c r="A183" s="26"/>
      <c r="B183" s="26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1"/>
    </row>
    <row r="184" s="1" customFormat="1" ht="20" customHeight="1" spans="1:28">
      <c r="A184" s="26"/>
      <c r="B184" s="28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1"/>
    </row>
    <row r="185" s="1" customFormat="1" ht="14.25" spans="1:28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1"/>
    </row>
    <row r="186" s="1" customFormat="1" ht="14.25" spans="1:28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1"/>
    </row>
    <row r="187" s="1" customFormat="1" ht="20" customHeight="1" spans="1:28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1"/>
    </row>
    <row r="188" s="1" customFormat="1" ht="20" customHeight="1" spans="1:28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1"/>
    </row>
    <row r="189" s="1" customFormat="1" ht="20" customHeight="1" spans="1:28">
      <c r="A189" s="26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1"/>
    </row>
    <row r="190" s="1" customFormat="1" ht="20" customHeight="1" spans="1:28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1"/>
    </row>
    <row r="191" s="1" customFormat="1" ht="20" customHeight="1" spans="1:28">
      <c r="A191" s="26"/>
      <c r="B191" s="26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1"/>
    </row>
    <row r="192" s="1" customFormat="1" ht="20" customHeight="1" spans="1:28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1"/>
    </row>
    <row r="193" s="1" customFormat="1" ht="20" customHeight="1" spans="1:28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1"/>
    </row>
    <row r="194" s="1" customFormat="1" ht="20" customHeight="1" spans="1:28">
      <c r="A194" s="26"/>
      <c r="B194" s="28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1"/>
    </row>
    <row r="195" s="1" customFormat="1" ht="14.25" spans="1:28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1"/>
    </row>
    <row r="196" s="1" customFormat="1" ht="14.25" spans="1:28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1"/>
    </row>
    <row r="197" s="1" customFormat="1" ht="20" customHeight="1" spans="1:28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1"/>
    </row>
    <row r="198" s="1" customFormat="1" ht="20" customHeight="1" spans="1:28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1"/>
    </row>
    <row r="199" s="1" customFormat="1" ht="20" customHeight="1" spans="1:28">
      <c r="A199" s="26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1"/>
    </row>
    <row r="200" s="1" customFormat="1" ht="20" customHeight="1" spans="1:28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1"/>
    </row>
    <row r="201" s="1" customFormat="1" ht="20" customHeight="1" spans="1:28">
      <c r="A201" s="26"/>
      <c r="B201" s="26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1"/>
    </row>
    <row r="202" s="1" customFormat="1" ht="20" customHeight="1" spans="1:28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1"/>
    </row>
    <row r="203" s="1" customFormat="1" ht="20" customHeight="1" spans="1:28">
      <c r="A203" s="26"/>
      <c r="B203" s="26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1"/>
    </row>
    <row r="204" s="1" customFormat="1" ht="20" customHeight="1" spans="1:28">
      <c r="A204" s="26"/>
      <c r="B204" s="28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1"/>
    </row>
    <row r="205" s="1" customFormat="1" ht="14.25" spans="1:28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1"/>
    </row>
    <row r="206" s="1" customFormat="1" ht="14.25" spans="1:28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1"/>
    </row>
    <row r="207" s="1" customFormat="1" ht="20" customHeight="1" spans="1:28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1"/>
    </row>
    <row r="208" s="1" customFormat="1" ht="20" customHeight="1" spans="1:28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1"/>
    </row>
    <row r="209" s="1" customFormat="1" ht="20" customHeight="1" spans="1:28">
      <c r="A209" s="26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1"/>
    </row>
    <row r="210" s="1" customFormat="1" ht="20" customHeight="1" spans="1:28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1"/>
    </row>
    <row r="211" s="1" customFormat="1" ht="20" customHeight="1" spans="1:28">
      <c r="A211" s="26"/>
      <c r="B211" s="26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1"/>
    </row>
    <row r="212" s="1" customFormat="1" ht="20" customHeight="1" spans="1:28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1"/>
    </row>
    <row r="213" s="1" customFormat="1" ht="20" customHeight="1" spans="1:28">
      <c r="A213" s="26"/>
      <c r="B213" s="26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1"/>
    </row>
    <row r="214" s="1" customFormat="1" ht="20" customHeight="1" spans="1:28">
      <c r="A214" s="26"/>
      <c r="B214" s="28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1"/>
    </row>
    <row r="215" s="1" customFormat="1" ht="14.25" spans="1:28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1"/>
    </row>
    <row r="216" s="1" customFormat="1" ht="14.25" spans="1:28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1"/>
    </row>
    <row r="217" s="1" customFormat="1" ht="20" customHeight="1" spans="1:28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1"/>
    </row>
    <row r="218" s="1" customFormat="1" ht="20" customHeight="1" spans="1:28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1"/>
    </row>
    <row r="219" s="1" customFormat="1" ht="20" customHeight="1" spans="1:28">
      <c r="A219" s="26"/>
      <c r="B219" s="26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1"/>
    </row>
    <row r="220" s="1" customFormat="1" ht="20" customHeight="1" spans="1:28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1"/>
    </row>
    <row r="221" s="1" customFormat="1" ht="20" customHeight="1" spans="1:28">
      <c r="A221" s="26"/>
      <c r="B221" s="26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1"/>
    </row>
    <row r="222" s="1" customFormat="1" ht="20" customHeight="1" spans="1:28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1"/>
    </row>
    <row r="223" s="1" customFormat="1" ht="20" customHeight="1" spans="1:28">
      <c r="A223" s="26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1"/>
    </row>
    <row r="224" s="1" customFormat="1" ht="20" customHeight="1" spans="1:28">
      <c r="A224" s="26"/>
      <c r="B224" s="28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1"/>
    </row>
    <row r="225" s="1" customFormat="1" ht="14.25" spans="1:28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1"/>
    </row>
    <row r="226" s="1" customFormat="1" ht="14.25" spans="1:28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1"/>
    </row>
    <row r="227" s="1" customFormat="1" ht="20" customHeight="1" spans="1:28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1"/>
    </row>
    <row r="228" s="1" customFormat="1" ht="20" customHeight="1" spans="1:28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1"/>
    </row>
    <row r="229" s="1" customFormat="1" ht="20" customHeight="1" spans="1:28">
      <c r="A229" s="26"/>
      <c r="B229" s="26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1"/>
    </row>
    <row r="230" s="1" customFormat="1" ht="20" customHeight="1" spans="1:28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1"/>
    </row>
    <row r="231" s="1" customFormat="1" ht="20" customHeight="1" spans="1:28">
      <c r="A231" s="26"/>
      <c r="B231" s="26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1"/>
    </row>
    <row r="232" s="1" customFormat="1" ht="20" customHeight="1" spans="1:28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1"/>
    </row>
    <row r="233" s="1" customFormat="1" ht="20" customHeight="1" spans="1:28">
      <c r="A233" s="26"/>
      <c r="B233" s="26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1"/>
    </row>
    <row r="234" s="1" customFormat="1" ht="20" customHeight="1" spans="1:28">
      <c r="A234" s="26"/>
      <c r="B234" s="28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1"/>
    </row>
    <row r="235" s="1" customFormat="1" ht="14.25" spans="1:28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1"/>
    </row>
    <row r="236" s="1" customFormat="1" ht="14.25" spans="1:28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1"/>
    </row>
    <row r="237" s="1" customFormat="1" ht="20" customHeight="1" spans="1:28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1"/>
    </row>
    <row r="238" s="1" customFormat="1" ht="20" customHeight="1" spans="1:28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1"/>
    </row>
    <row r="239" s="1" customFormat="1" ht="20" customHeight="1" spans="1:28">
      <c r="A239" s="26"/>
      <c r="B239" s="26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1"/>
    </row>
    <row r="240" s="1" customFormat="1" ht="20" customHeight="1" spans="1:28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1"/>
    </row>
    <row r="241" s="1" customFormat="1" ht="20" customHeight="1" spans="1:28">
      <c r="A241" s="26"/>
      <c r="B241" s="26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1"/>
    </row>
    <row r="242" s="1" customFormat="1" ht="20" customHeight="1" spans="1:28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1"/>
    </row>
    <row r="243" s="1" customFormat="1" ht="20" customHeight="1" spans="1:28">
      <c r="A243" s="26"/>
      <c r="B243" s="26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1"/>
    </row>
    <row r="244" s="1" customFormat="1" ht="20" customHeight="1" spans="1:28">
      <c r="A244" s="26"/>
      <c r="B244" s="28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1"/>
    </row>
    <row r="245" s="1" customFormat="1" ht="14.25" spans="1:28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1"/>
    </row>
    <row r="246" s="1" customFormat="1" ht="14.25" spans="1:28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1"/>
    </row>
    <row r="247" s="1" customFormat="1" ht="20" customHeight="1" spans="1:28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1"/>
    </row>
    <row r="248" s="1" customFormat="1" ht="20" customHeight="1" spans="1:28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1"/>
    </row>
    <row r="249" s="1" customFormat="1" ht="20" customHeight="1" spans="1:28">
      <c r="A249" s="26"/>
      <c r="B249" s="26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1"/>
    </row>
    <row r="250" s="1" customFormat="1" ht="20" customHeight="1" spans="1:28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1"/>
    </row>
    <row r="251" s="1" customFormat="1" ht="20" customHeight="1" spans="1:28">
      <c r="A251" s="26"/>
      <c r="B251" s="26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1"/>
    </row>
    <row r="252" s="1" customFormat="1" ht="20" customHeight="1" spans="1:28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1"/>
    </row>
    <row r="253" s="1" customFormat="1" ht="20" customHeight="1" spans="1:28">
      <c r="A253" s="26"/>
      <c r="B253" s="26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1"/>
    </row>
    <row r="254" s="1" customFormat="1" ht="20" customHeight="1" spans="1:28">
      <c r="A254" s="26"/>
      <c r="B254" s="28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1"/>
    </row>
    <row r="255" s="1" customFormat="1" ht="14.25" spans="1:28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1"/>
    </row>
    <row r="256" s="1" customFormat="1" ht="14.25" spans="1:28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1"/>
    </row>
    <row r="257" s="1" customFormat="1" ht="20" customHeight="1" spans="1:28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1"/>
    </row>
    <row r="258" s="1" customFormat="1" ht="20" customHeight="1" spans="1:28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1"/>
    </row>
    <row r="259" s="1" customFormat="1" ht="20" customHeight="1" spans="1:28">
      <c r="A259" s="26"/>
      <c r="B259" s="26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1"/>
    </row>
    <row r="260" s="1" customFormat="1" ht="20" customHeight="1" spans="1:28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1"/>
    </row>
    <row r="261" s="1" customFormat="1" ht="20" customHeight="1" spans="1:28">
      <c r="A261" s="26"/>
      <c r="B261" s="26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1"/>
    </row>
    <row r="262" s="1" customFormat="1" ht="20" customHeight="1" spans="1:28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1"/>
    </row>
    <row r="263" s="1" customFormat="1" ht="20" customHeight="1" spans="1:28">
      <c r="A263" s="26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1"/>
    </row>
    <row r="264" s="1" customFormat="1" ht="20" customHeight="1" spans="1:28">
      <c r="A264" s="26"/>
      <c r="B264" s="28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1"/>
    </row>
    <row r="265" s="1" customFormat="1" ht="14.25" spans="1:28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1"/>
    </row>
    <row r="266" s="1" customFormat="1" ht="14.25" spans="1:28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1"/>
    </row>
    <row r="267" s="1" customFormat="1" ht="20" customHeight="1" spans="1:28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1"/>
    </row>
    <row r="268" s="1" customFormat="1" ht="20" customHeight="1" spans="1:28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1"/>
    </row>
    <row r="269" s="1" customFormat="1" ht="20" customHeight="1" spans="1:28">
      <c r="A269" s="26"/>
      <c r="B269" s="26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1"/>
    </row>
    <row r="270" s="1" customFormat="1" ht="20" customHeight="1" spans="1:28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1"/>
    </row>
    <row r="271" s="1" customFormat="1" ht="20" customHeight="1" spans="1:28">
      <c r="A271" s="26"/>
      <c r="B271" s="26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1"/>
    </row>
    <row r="272" s="1" customFormat="1" ht="20" customHeight="1" spans="1:28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1"/>
    </row>
    <row r="273" s="1" customFormat="1" ht="20" customHeight="1" spans="1:28">
      <c r="A273" s="26"/>
      <c r="B273" s="26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1"/>
    </row>
    <row r="274" s="1" customFormat="1" ht="20" customHeight="1" spans="1:28">
      <c r="A274" s="26"/>
      <c r="B274" s="28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1"/>
    </row>
    <row r="275" s="1" customFormat="1" ht="14.25" spans="1:28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1"/>
    </row>
    <row r="276" s="1" customFormat="1" ht="14.25" spans="1:28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1"/>
    </row>
    <row r="277" s="1" customFormat="1" ht="20" customHeight="1" spans="1:28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1"/>
    </row>
    <row r="278" s="1" customFormat="1" ht="20" customHeight="1" spans="1:28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1"/>
    </row>
    <row r="279" s="1" customFormat="1" ht="20" customHeight="1" spans="1:28">
      <c r="A279" s="26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1"/>
    </row>
    <row r="280" s="1" customFormat="1" ht="20" customHeight="1" spans="1:28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1"/>
    </row>
    <row r="281" s="1" customFormat="1" ht="20" customHeight="1" spans="1:28">
      <c r="A281" s="26"/>
      <c r="B281" s="26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1"/>
    </row>
    <row r="282" s="1" customFormat="1" ht="20" customHeight="1" spans="1:28">
      <c r="A282" s="26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1"/>
    </row>
    <row r="283" s="1" customFormat="1" ht="20" customHeight="1" spans="1:28">
      <c r="A283" s="26"/>
      <c r="B283" s="26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1"/>
    </row>
    <row r="284" s="1" customFormat="1" ht="20" customHeight="1" spans="1:28">
      <c r="A284" s="26"/>
      <c r="B284" s="28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1"/>
    </row>
    <row r="285" s="1" customFormat="1" ht="14.25" spans="1:28">
      <c r="A285" s="26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1"/>
    </row>
    <row r="286" s="1" customFormat="1" ht="14.25" spans="1:28">
      <c r="A286" s="26"/>
      <c r="B286" s="26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1"/>
    </row>
    <row r="287" s="1" customFormat="1" ht="20" customHeight="1" spans="1:28">
      <c r="A287" s="26"/>
      <c r="B287" s="26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1"/>
    </row>
    <row r="288" s="1" customFormat="1" ht="20" customHeight="1" spans="1:28">
      <c r="A288" s="26"/>
      <c r="B288" s="26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1"/>
    </row>
    <row r="289" s="1" customFormat="1" ht="20" customHeight="1" spans="1:28">
      <c r="A289" s="26"/>
      <c r="B289" s="26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1"/>
    </row>
    <row r="290" s="1" customFormat="1" ht="20" customHeight="1" spans="1:28">
      <c r="A290" s="26"/>
      <c r="B290" s="26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1"/>
    </row>
    <row r="291" s="1" customFormat="1" ht="20" customHeight="1" spans="1:28">
      <c r="A291" s="26"/>
      <c r="B291" s="26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1"/>
    </row>
    <row r="292" s="1" customFormat="1" ht="20" customHeight="1" spans="1:28">
      <c r="A292" s="26"/>
      <c r="B292" s="26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1"/>
    </row>
    <row r="293" s="1" customFormat="1" ht="20" customHeight="1" spans="1:28">
      <c r="A293" s="26"/>
      <c r="B293" s="26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1"/>
    </row>
    <row r="294" s="1" customFormat="1" ht="20" customHeight="1" spans="1:28">
      <c r="A294" s="26"/>
      <c r="B294" s="28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1"/>
    </row>
    <row r="295" s="1" customFormat="1" ht="14.25" spans="1:28">
      <c r="A295" s="26"/>
      <c r="B295" s="26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1"/>
    </row>
    <row r="296" s="1" customFormat="1" ht="14.25" spans="1:28">
      <c r="A296" s="26"/>
      <c r="B296" s="26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1"/>
    </row>
  </sheetData>
  <autoFilter ref="A3:AB96">
    <filterColumn colId="2">
      <customFilters>
        <customFilter operator="equal" val="实际"/>
      </customFilters>
    </filterColumn>
  </autoFilter>
  <mergeCells count="64">
    <mergeCell ref="A1:AB1"/>
    <mergeCell ref="A2:AA2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AB296"/>
  <sheetViews>
    <sheetView workbookViewId="0">
      <pane xSplit="3" ySplit="3" topLeftCell="E11" activePane="bottomRight" state="frozen"/>
      <selection/>
      <selection pane="topRight"/>
      <selection pane="bottomLeft"/>
      <selection pane="bottomRight" activeCell="A1" sqref="A1:AB1"/>
    </sheetView>
  </sheetViews>
  <sheetFormatPr defaultColWidth="9" defaultRowHeight="13.5"/>
  <cols>
    <col min="1" max="1" width="11.375" style="3" customWidth="1"/>
    <col min="2" max="2" width="17.25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9" style="6"/>
    <col min="29" max="16384" width="9" style="4"/>
  </cols>
  <sheetData>
    <row r="1" ht="70" customHeight="1" spans="1:28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8.75" spans="5:5">
      <c r="E2" s="9" t="s">
        <v>40</v>
      </c>
    </row>
    <row r="3" s="1" customFormat="1" ht="14.25" spans="1:28">
      <c r="A3" s="10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  <c r="AB3" s="21"/>
    </row>
    <row r="4" s="1" customFormat="1" ht="20" hidden="1" customHeight="1" spans="1:27">
      <c r="A4" s="15">
        <v>46023</v>
      </c>
      <c r="B4" s="16">
        <v>4303121811816</v>
      </c>
      <c r="C4" s="17" t="s">
        <v>37</v>
      </c>
      <c r="D4" s="19">
        <v>15.18</v>
      </c>
      <c r="E4" s="19">
        <v>14.77</v>
      </c>
      <c r="F4" s="19">
        <v>14.58</v>
      </c>
      <c r="G4" s="19">
        <v>14.33</v>
      </c>
      <c r="H4" s="19">
        <v>14.47</v>
      </c>
      <c r="I4" s="19">
        <v>14.22</v>
      </c>
      <c r="J4" s="19">
        <v>14.18</v>
      </c>
      <c r="K4" s="19">
        <v>14.33</v>
      </c>
      <c r="L4" s="19">
        <v>14.12</v>
      </c>
      <c r="M4" s="19">
        <v>14.22</v>
      </c>
      <c r="N4" s="19">
        <v>14.33</v>
      </c>
      <c r="O4" s="19">
        <v>14.24</v>
      </c>
      <c r="P4" s="19">
        <v>14.31</v>
      </c>
      <c r="Q4" s="19">
        <v>14.2</v>
      </c>
      <c r="R4" s="19">
        <v>14.34</v>
      </c>
      <c r="S4" s="19">
        <v>14.18</v>
      </c>
      <c r="T4" s="19">
        <v>14.31</v>
      </c>
      <c r="U4" s="19">
        <v>14.28</v>
      </c>
      <c r="V4" s="19">
        <v>14.31</v>
      </c>
      <c r="W4" s="19">
        <v>14.24</v>
      </c>
      <c r="X4" s="19">
        <v>14.25</v>
      </c>
      <c r="Y4" s="19">
        <v>14.31</v>
      </c>
      <c r="Z4" s="19">
        <v>14.22</v>
      </c>
      <c r="AA4" s="19">
        <v>14.24</v>
      </c>
    </row>
    <row r="5" s="1" customFormat="1" ht="14.25" spans="1:28">
      <c r="A5" s="15"/>
      <c r="B5" s="16"/>
      <c r="C5" s="17" t="s">
        <v>38</v>
      </c>
      <c r="D5" s="19">
        <v>19.0221</v>
      </c>
      <c r="E5" s="19">
        <v>18.0752</v>
      </c>
      <c r="F5" s="19">
        <v>19.3248</v>
      </c>
      <c r="G5" s="19">
        <v>19.0309</v>
      </c>
      <c r="H5" s="19">
        <v>18.5698</v>
      </c>
      <c r="I5" s="19">
        <v>18.4571</v>
      </c>
      <c r="J5" s="19">
        <v>18.8549</v>
      </c>
      <c r="K5" s="19">
        <v>18.8954</v>
      </c>
      <c r="L5" s="19">
        <v>17.3754</v>
      </c>
      <c r="M5" s="19">
        <v>16.9325</v>
      </c>
      <c r="N5" s="19">
        <v>16.1251</v>
      </c>
      <c r="O5" s="19">
        <v>18.4227</v>
      </c>
      <c r="P5" s="19">
        <v>18.1597</v>
      </c>
      <c r="Q5" s="19">
        <v>17.299</v>
      </c>
      <c r="R5" s="19">
        <v>17.6968</v>
      </c>
      <c r="S5" s="19">
        <v>17.7123</v>
      </c>
      <c r="T5" s="19">
        <v>17.7725</v>
      </c>
      <c r="U5" s="19">
        <v>18.7598</v>
      </c>
      <c r="V5" s="19">
        <v>22.7374</v>
      </c>
      <c r="W5" s="19">
        <v>22.44</v>
      </c>
      <c r="X5" s="19">
        <v>23.2232</v>
      </c>
      <c r="Y5" s="19">
        <v>23.8603</v>
      </c>
      <c r="Z5" s="19">
        <v>24.1965</v>
      </c>
      <c r="AA5" s="19">
        <v>24.1437</v>
      </c>
      <c r="AB5" s="21">
        <f>MAX(K5:AA5)</f>
        <v>24.1965</v>
      </c>
    </row>
    <row r="6" s="1" customFormat="1" ht="14.25" hidden="1" spans="1:27">
      <c r="A6" s="15"/>
      <c r="B6" s="16"/>
      <c r="C6" s="17" t="s">
        <v>39</v>
      </c>
      <c r="D6" s="19">
        <f t="shared" ref="D6:AA6" si="0">D4-D5</f>
        <v>-3.8421</v>
      </c>
      <c r="E6" s="19">
        <f t="shared" si="0"/>
        <v>-3.3052</v>
      </c>
      <c r="F6" s="19">
        <f t="shared" si="0"/>
        <v>-4.7448</v>
      </c>
      <c r="G6" s="19">
        <f t="shared" si="0"/>
        <v>-4.7009</v>
      </c>
      <c r="H6" s="19">
        <f t="shared" si="0"/>
        <v>-4.0998</v>
      </c>
      <c r="I6" s="19">
        <f t="shared" si="0"/>
        <v>-4.2371</v>
      </c>
      <c r="J6" s="19">
        <f t="shared" si="0"/>
        <v>-4.6749</v>
      </c>
      <c r="K6" s="19">
        <f t="shared" si="0"/>
        <v>-4.5654</v>
      </c>
      <c r="L6" s="19">
        <f t="shared" si="0"/>
        <v>-3.2554</v>
      </c>
      <c r="M6" s="19">
        <f t="shared" si="0"/>
        <v>-2.7125</v>
      </c>
      <c r="N6" s="19">
        <f t="shared" si="0"/>
        <v>-1.7951</v>
      </c>
      <c r="O6" s="19">
        <f t="shared" si="0"/>
        <v>-4.1827</v>
      </c>
      <c r="P6" s="19">
        <f t="shared" si="0"/>
        <v>-3.8497</v>
      </c>
      <c r="Q6" s="19">
        <f t="shared" si="0"/>
        <v>-3.099</v>
      </c>
      <c r="R6" s="19">
        <f t="shared" si="0"/>
        <v>-3.3568</v>
      </c>
      <c r="S6" s="19">
        <f t="shared" si="0"/>
        <v>-3.5323</v>
      </c>
      <c r="T6" s="19">
        <f t="shared" si="0"/>
        <v>-3.4625</v>
      </c>
      <c r="U6" s="19">
        <f t="shared" si="0"/>
        <v>-4.4798</v>
      </c>
      <c r="V6" s="19">
        <f t="shared" si="0"/>
        <v>-8.4274</v>
      </c>
      <c r="W6" s="19">
        <f t="shared" si="0"/>
        <v>-8.2</v>
      </c>
      <c r="X6" s="19">
        <f t="shared" si="0"/>
        <v>-8.9732</v>
      </c>
      <c r="Y6" s="19">
        <f t="shared" si="0"/>
        <v>-9.5503</v>
      </c>
      <c r="Z6" s="19">
        <f t="shared" si="0"/>
        <v>-9.9765</v>
      </c>
      <c r="AA6" s="19">
        <f t="shared" si="0"/>
        <v>-9.9037</v>
      </c>
    </row>
    <row r="7" s="1" customFormat="1" ht="20" hidden="1" customHeight="1" spans="1:27">
      <c r="A7" s="15">
        <v>46024</v>
      </c>
      <c r="B7" s="16">
        <v>4303121811816</v>
      </c>
      <c r="C7" s="17" t="s">
        <v>37</v>
      </c>
      <c r="D7" s="20">
        <v>20.12</v>
      </c>
      <c r="E7" s="20">
        <v>25.38</v>
      </c>
      <c r="F7" s="20">
        <v>30.12</v>
      </c>
      <c r="G7" s="20">
        <v>32.38</v>
      </c>
      <c r="H7" s="20">
        <v>34.12</v>
      </c>
      <c r="I7" s="20">
        <v>35.38</v>
      </c>
      <c r="J7" s="20">
        <v>40.38</v>
      </c>
      <c r="K7" s="20">
        <v>53.28</v>
      </c>
      <c r="L7" s="20">
        <v>65.49</v>
      </c>
      <c r="M7" s="20">
        <v>68.38</v>
      </c>
      <c r="N7" s="20">
        <v>70.12</v>
      </c>
      <c r="O7" s="20">
        <v>65.38</v>
      </c>
      <c r="P7" s="20">
        <v>64.12</v>
      </c>
      <c r="Q7" s="20">
        <v>71.25</v>
      </c>
      <c r="R7" s="20">
        <v>71.38</v>
      </c>
      <c r="S7" s="20">
        <v>72.12</v>
      </c>
      <c r="T7" s="20">
        <v>71.03</v>
      </c>
      <c r="U7" s="20">
        <v>69.25</v>
      </c>
      <c r="V7" s="20">
        <v>68.35</v>
      </c>
      <c r="W7" s="20">
        <v>70.12</v>
      </c>
      <c r="X7" s="20">
        <v>72.38</v>
      </c>
      <c r="Y7" s="20">
        <v>73.18</v>
      </c>
      <c r="Z7" s="20">
        <v>71.12</v>
      </c>
      <c r="AA7" s="20">
        <v>70.03</v>
      </c>
    </row>
    <row r="8" s="1" customFormat="1" ht="14.25" spans="1:28">
      <c r="A8" s="15"/>
      <c r="B8" s="16"/>
      <c r="C8" s="17" t="s">
        <v>38</v>
      </c>
      <c r="D8" s="20">
        <v>26.2346</v>
      </c>
      <c r="E8" s="20">
        <v>33.1908</v>
      </c>
      <c r="F8" s="20">
        <v>34.9994</v>
      </c>
      <c r="G8" s="20">
        <v>37.1624</v>
      </c>
      <c r="H8" s="20">
        <v>38.06</v>
      </c>
      <c r="I8" s="20">
        <v>39.9555</v>
      </c>
      <c r="J8" s="20">
        <v>44.1496</v>
      </c>
      <c r="K8" s="20">
        <v>52.5677</v>
      </c>
      <c r="L8" s="20">
        <v>65.4012</v>
      </c>
      <c r="M8" s="20">
        <v>67.2351</v>
      </c>
      <c r="N8" s="20">
        <v>67.9131</v>
      </c>
      <c r="O8" s="20">
        <v>69.0433</v>
      </c>
      <c r="P8" s="20">
        <v>68.4957</v>
      </c>
      <c r="Q8" s="20">
        <v>74.4198</v>
      </c>
      <c r="R8" s="20">
        <v>76.2661</v>
      </c>
      <c r="S8" s="20">
        <v>77.2351</v>
      </c>
      <c r="T8" s="20">
        <v>77.7621</v>
      </c>
      <c r="U8" s="20">
        <v>76.113</v>
      </c>
      <c r="V8" s="20">
        <v>74.2438</v>
      </c>
      <c r="W8" s="20">
        <v>71.0846</v>
      </c>
      <c r="X8" s="20">
        <v>75.1238</v>
      </c>
      <c r="Y8" s="20">
        <v>75.4528</v>
      </c>
      <c r="Z8" s="20">
        <v>72.2339</v>
      </c>
      <c r="AA8" s="20">
        <v>69.5658</v>
      </c>
      <c r="AB8" s="21">
        <f>MAX(K8:AA8)</f>
        <v>77.7621</v>
      </c>
    </row>
    <row r="9" s="1" customFormat="1" ht="14.25" hidden="1" spans="1:27">
      <c r="A9" s="15"/>
      <c r="B9" s="16"/>
      <c r="C9" s="17" t="s">
        <v>39</v>
      </c>
      <c r="D9" s="20">
        <f t="shared" ref="D9:AA9" si="1">D7-D8</f>
        <v>-6.1146</v>
      </c>
      <c r="E9" s="20">
        <f t="shared" si="1"/>
        <v>-7.8108</v>
      </c>
      <c r="F9" s="20">
        <f t="shared" si="1"/>
        <v>-4.8794</v>
      </c>
      <c r="G9" s="20">
        <f t="shared" si="1"/>
        <v>-4.7824</v>
      </c>
      <c r="H9" s="20">
        <f t="shared" si="1"/>
        <v>-3.94</v>
      </c>
      <c r="I9" s="20">
        <f t="shared" si="1"/>
        <v>-4.5755</v>
      </c>
      <c r="J9" s="20">
        <f t="shared" si="1"/>
        <v>-3.7696</v>
      </c>
      <c r="K9" s="20">
        <f t="shared" si="1"/>
        <v>0.712299999999999</v>
      </c>
      <c r="L9" s="20">
        <f t="shared" si="1"/>
        <v>0.088799999999992</v>
      </c>
      <c r="M9" s="20">
        <f t="shared" si="1"/>
        <v>1.14489999999999</v>
      </c>
      <c r="N9" s="20">
        <f t="shared" si="1"/>
        <v>2.2069</v>
      </c>
      <c r="O9" s="20">
        <f t="shared" si="1"/>
        <v>-3.66330000000001</v>
      </c>
      <c r="P9" s="20">
        <f t="shared" si="1"/>
        <v>-4.37569999999999</v>
      </c>
      <c r="Q9" s="20">
        <f t="shared" si="1"/>
        <v>-3.16979999999999</v>
      </c>
      <c r="R9" s="20">
        <f t="shared" si="1"/>
        <v>-4.8861</v>
      </c>
      <c r="S9" s="20">
        <f t="shared" si="1"/>
        <v>-5.1151</v>
      </c>
      <c r="T9" s="20">
        <f t="shared" si="1"/>
        <v>-6.7321</v>
      </c>
      <c r="U9" s="20">
        <f t="shared" si="1"/>
        <v>-6.863</v>
      </c>
      <c r="V9" s="20">
        <f t="shared" si="1"/>
        <v>-5.8938</v>
      </c>
      <c r="W9" s="20">
        <f t="shared" si="1"/>
        <v>-0.96459999999999</v>
      </c>
      <c r="X9" s="20">
        <f t="shared" si="1"/>
        <v>-2.74380000000001</v>
      </c>
      <c r="Y9" s="20">
        <f t="shared" si="1"/>
        <v>-2.27279999999999</v>
      </c>
      <c r="Z9" s="20">
        <f t="shared" si="1"/>
        <v>-1.1139</v>
      </c>
      <c r="AA9" s="20">
        <f t="shared" si="1"/>
        <v>0.464200000000005</v>
      </c>
    </row>
    <row r="10" s="1" customFormat="1" ht="20" hidden="1" customHeight="1" spans="1:27">
      <c r="A10" s="15">
        <v>46025</v>
      </c>
      <c r="B10" s="16">
        <v>4303121811816</v>
      </c>
      <c r="C10" s="17" t="s">
        <v>37</v>
      </c>
      <c r="D10" s="19">
        <v>69.53</v>
      </c>
      <c r="E10" s="19">
        <v>70.15</v>
      </c>
      <c r="F10" s="19">
        <v>72.22</v>
      </c>
      <c r="G10" s="19">
        <v>73.17</v>
      </c>
      <c r="H10" s="19">
        <v>71.34</v>
      </c>
      <c r="I10" s="19">
        <v>70.28</v>
      </c>
      <c r="J10" s="19">
        <v>68.34</v>
      </c>
      <c r="K10" s="19">
        <v>71.13</v>
      </c>
      <c r="L10" s="19">
        <v>73.25</v>
      </c>
      <c r="M10" s="19">
        <v>73.59</v>
      </c>
      <c r="N10" s="19">
        <v>72.15</v>
      </c>
      <c r="O10" s="19">
        <v>70.03</v>
      </c>
      <c r="P10" s="19">
        <v>69.38</v>
      </c>
      <c r="Q10" s="19">
        <v>71.27</v>
      </c>
      <c r="R10" s="19">
        <v>72.12</v>
      </c>
      <c r="S10" s="19">
        <v>73.34</v>
      </c>
      <c r="T10" s="19">
        <v>72.59</v>
      </c>
      <c r="U10" s="19">
        <v>71.38</v>
      </c>
      <c r="V10" s="19">
        <v>69.31</v>
      </c>
      <c r="W10" s="19">
        <v>70.59</v>
      </c>
      <c r="X10" s="19">
        <v>72.12</v>
      </c>
      <c r="Y10" s="19">
        <v>72.69</v>
      </c>
      <c r="Z10" s="19">
        <v>72.12</v>
      </c>
      <c r="AA10" s="19">
        <v>70.07</v>
      </c>
    </row>
    <row r="11" s="1" customFormat="1" ht="14.25" spans="1:28">
      <c r="A11" s="15"/>
      <c r="B11" s="16"/>
      <c r="C11" s="17" t="s">
        <v>38</v>
      </c>
      <c r="D11" s="19">
        <v>71.6918</v>
      </c>
      <c r="E11" s="19">
        <v>73.9323</v>
      </c>
      <c r="F11" s="19">
        <v>74.705</v>
      </c>
      <c r="G11" s="19">
        <v>73.7123</v>
      </c>
      <c r="H11" s="19">
        <v>73.9253</v>
      </c>
      <c r="I11" s="19">
        <v>73.8038</v>
      </c>
      <c r="J11" s="19">
        <v>71.9259</v>
      </c>
      <c r="K11" s="19">
        <v>73.5522</v>
      </c>
      <c r="L11" s="19">
        <v>80.3229</v>
      </c>
      <c r="M11" s="19">
        <v>83.2339</v>
      </c>
      <c r="N11" s="19">
        <v>83.6757</v>
      </c>
      <c r="O11" s="19">
        <v>76.9982</v>
      </c>
      <c r="P11" s="19">
        <v>77.4048</v>
      </c>
      <c r="Q11" s="19">
        <v>83.9115</v>
      </c>
      <c r="R11" s="19">
        <v>84.0576</v>
      </c>
      <c r="S11" s="19">
        <v>84.6173</v>
      </c>
      <c r="T11" s="19">
        <v>84.9358</v>
      </c>
      <c r="U11" s="19">
        <v>82.3205</v>
      </c>
      <c r="V11" s="19">
        <v>78.2162</v>
      </c>
      <c r="W11" s="19">
        <v>76.6744</v>
      </c>
      <c r="X11" s="19">
        <v>80.395</v>
      </c>
      <c r="Y11" s="19">
        <v>81.2187</v>
      </c>
      <c r="Z11" s="19">
        <v>80.1627</v>
      </c>
      <c r="AA11" s="19">
        <v>77.0299</v>
      </c>
      <c r="AB11" s="21">
        <f>MAX(K11:AA11)</f>
        <v>84.9358</v>
      </c>
    </row>
    <row r="12" s="1" customFormat="1" ht="14.25" hidden="1" spans="1:27">
      <c r="A12" s="15"/>
      <c r="B12" s="16"/>
      <c r="C12" s="17" t="s">
        <v>39</v>
      </c>
      <c r="D12" s="19">
        <f t="shared" ref="D12:AA12" si="2">D10-D11</f>
        <v>-2.1618</v>
      </c>
      <c r="E12" s="19">
        <f t="shared" si="2"/>
        <v>-3.78229999999999</v>
      </c>
      <c r="F12" s="19">
        <f t="shared" si="2"/>
        <v>-2.485</v>
      </c>
      <c r="G12" s="19">
        <f t="shared" si="2"/>
        <v>-0.542299999999997</v>
      </c>
      <c r="H12" s="19">
        <f t="shared" si="2"/>
        <v>-2.58529999999999</v>
      </c>
      <c r="I12" s="19">
        <f t="shared" si="2"/>
        <v>-3.52379999999999</v>
      </c>
      <c r="J12" s="19">
        <f t="shared" si="2"/>
        <v>-3.58589999999999</v>
      </c>
      <c r="K12" s="19">
        <f t="shared" si="2"/>
        <v>-2.4222</v>
      </c>
      <c r="L12" s="19">
        <f t="shared" si="2"/>
        <v>-7.0729</v>
      </c>
      <c r="M12" s="19">
        <f t="shared" si="2"/>
        <v>-9.6439</v>
      </c>
      <c r="N12" s="19">
        <f t="shared" si="2"/>
        <v>-11.5257</v>
      </c>
      <c r="O12" s="19">
        <f t="shared" si="2"/>
        <v>-6.9682</v>
      </c>
      <c r="P12" s="19">
        <f t="shared" si="2"/>
        <v>-8.0248</v>
      </c>
      <c r="Q12" s="19">
        <f t="shared" si="2"/>
        <v>-12.6415</v>
      </c>
      <c r="R12" s="19">
        <f t="shared" si="2"/>
        <v>-11.9376</v>
      </c>
      <c r="S12" s="19">
        <f t="shared" si="2"/>
        <v>-11.2773</v>
      </c>
      <c r="T12" s="19">
        <f t="shared" si="2"/>
        <v>-12.3458</v>
      </c>
      <c r="U12" s="19">
        <f t="shared" si="2"/>
        <v>-10.9405</v>
      </c>
      <c r="V12" s="19">
        <f t="shared" si="2"/>
        <v>-8.9062</v>
      </c>
      <c r="W12" s="19">
        <f t="shared" si="2"/>
        <v>-6.0844</v>
      </c>
      <c r="X12" s="19">
        <f t="shared" si="2"/>
        <v>-8.27499999999999</v>
      </c>
      <c r="Y12" s="19">
        <f t="shared" si="2"/>
        <v>-8.5287</v>
      </c>
      <c r="Z12" s="19">
        <f t="shared" si="2"/>
        <v>-8.0427</v>
      </c>
      <c r="AA12" s="19">
        <f t="shared" si="2"/>
        <v>-6.9599</v>
      </c>
    </row>
    <row r="13" s="1" customFormat="1" ht="20" hidden="1" customHeight="1" spans="1:27">
      <c r="A13" s="15">
        <v>46026</v>
      </c>
      <c r="B13" s="16">
        <v>4303121811816</v>
      </c>
      <c r="C13" s="17" t="s">
        <v>37</v>
      </c>
      <c r="D13" s="20">
        <v>69.38</v>
      </c>
      <c r="E13" s="20">
        <v>70.59</v>
      </c>
      <c r="F13" s="20">
        <v>72.12</v>
      </c>
      <c r="G13" s="20">
        <v>72.59</v>
      </c>
      <c r="H13" s="20">
        <v>71.05</v>
      </c>
      <c r="I13" s="20">
        <v>67.43</v>
      </c>
      <c r="J13" s="20">
        <v>65.38</v>
      </c>
      <c r="K13" s="20">
        <v>66.49</v>
      </c>
      <c r="L13" s="20">
        <v>65.38</v>
      </c>
      <c r="M13" s="20">
        <v>65.72</v>
      </c>
      <c r="N13" s="20">
        <v>65.17</v>
      </c>
      <c r="O13" s="20">
        <v>60.28</v>
      </c>
      <c r="P13" s="20">
        <v>59.49</v>
      </c>
      <c r="Q13" s="20">
        <v>62.38</v>
      </c>
      <c r="R13" s="20">
        <v>63.57</v>
      </c>
      <c r="S13" s="20">
        <v>64.36</v>
      </c>
      <c r="T13" s="20">
        <v>65.42</v>
      </c>
      <c r="U13" s="20">
        <v>64.59</v>
      </c>
      <c r="V13" s="20">
        <v>62.16</v>
      </c>
      <c r="W13" s="20">
        <v>63.25</v>
      </c>
      <c r="X13" s="20">
        <v>64.12</v>
      </c>
      <c r="Y13" s="20">
        <v>64.38</v>
      </c>
      <c r="Z13" s="20">
        <v>63.06</v>
      </c>
      <c r="AA13" s="20">
        <v>60.17</v>
      </c>
    </row>
    <row r="14" s="1" customFormat="1" ht="14.25" spans="1:28">
      <c r="A14" s="15"/>
      <c r="B14" s="16"/>
      <c r="C14" s="17" t="s">
        <v>38</v>
      </c>
      <c r="D14" s="20">
        <v>75.7205</v>
      </c>
      <c r="E14" s="20">
        <v>79.0064</v>
      </c>
      <c r="F14" s="20">
        <v>78.8216</v>
      </c>
      <c r="G14" s="20">
        <v>78.8498</v>
      </c>
      <c r="H14" s="20">
        <v>78.7266</v>
      </c>
      <c r="I14" s="20">
        <v>77.6934</v>
      </c>
      <c r="J14" s="20">
        <v>73.3269</v>
      </c>
      <c r="K14" s="20">
        <v>71.3768</v>
      </c>
      <c r="L14" s="20">
        <v>74.6134</v>
      </c>
      <c r="M14" s="20">
        <v>73.6032</v>
      </c>
      <c r="N14" s="20">
        <v>71.1458</v>
      </c>
      <c r="O14" s="20">
        <v>70.4312</v>
      </c>
      <c r="P14" s="20">
        <v>68.596</v>
      </c>
      <c r="Q14" s="20">
        <v>74.1853</v>
      </c>
      <c r="R14" s="20">
        <v>75.0059</v>
      </c>
      <c r="S14" s="20">
        <v>77.3538</v>
      </c>
      <c r="T14" s="20">
        <v>75.8153</v>
      </c>
      <c r="U14" s="20">
        <v>74.2386</v>
      </c>
      <c r="V14" s="20">
        <v>70.4458</v>
      </c>
      <c r="W14" s="20">
        <v>70.7819</v>
      </c>
      <c r="X14" s="20">
        <v>75.3174</v>
      </c>
      <c r="Y14" s="20">
        <v>75.4565</v>
      </c>
      <c r="Z14" s="20">
        <v>73.2899</v>
      </c>
      <c r="AA14" s="20">
        <v>71.4701</v>
      </c>
      <c r="AB14" s="21">
        <f>MAX(K14:AA14)</f>
        <v>77.3538</v>
      </c>
    </row>
    <row r="15" s="1" customFormat="1" ht="14.25" hidden="1" spans="1:27">
      <c r="A15" s="15"/>
      <c r="B15" s="16"/>
      <c r="C15" s="17" t="s">
        <v>39</v>
      </c>
      <c r="D15" s="20">
        <f t="shared" ref="D15:AA15" si="3">D13-D14</f>
        <v>-6.34050000000001</v>
      </c>
      <c r="E15" s="20">
        <f t="shared" si="3"/>
        <v>-8.4164</v>
      </c>
      <c r="F15" s="20">
        <f t="shared" si="3"/>
        <v>-6.7016</v>
      </c>
      <c r="G15" s="20">
        <f t="shared" si="3"/>
        <v>-6.2598</v>
      </c>
      <c r="H15" s="20">
        <f t="shared" si="3"/>
        <v>-7.67660000000001</v>
      </c>
      <c r="I15" s="20">
        <f t="shared" si="3"/>
        <v>-10.2634</v>
      </c>
      <c r="J15" s="20">
        <f t="shared" si="3"/>
        <v>-7.9469</v>
      </c>
      <c r="K15" s="20">
        <f t="shared" si="3"/>
        <v>-4.88680000000001</v>
      </c>
      <c r="L15" s="20">
        <f t="shared" si="3"/>
        <v>-9.2334</v>
      </c>
      <c r="M15" s="20">
        <f t="shared" si="3"/>
        <v>-7.8832</v>
      </c>
      <c r="N15" s="20">
        <f t="shared" si="3"/>
        <v>-5.97579999999999</v>
      </c>
      <c r="O15" s="20">
        <f t="shared" si="3"/>
        <v>-10.1512</v>
      </c>
      <c r="P15" s="20">
        <f t="shared" si="3"/>
        <v>-9.106</v>
      </c>
      <c r="Q15" s="20">
        <f t="shared" si="3"/>
        <v>-11.8053</v>
      </c>
      <c r="R15" s="20">
        <f t="shared" si="3"/>
        <v>-11.4359</v>
      </c>
      <c r="S15" s="20">
        <f t="shared" si="3"/>
        <v>-12.9938</v>
      </c>
      <c r="T15" s="20">
        <f t="shared" si="3"/>
        <v>-10.3953</v>
      </c>
      <c r="U15" s="20">
        <f t="shared" si="3"/>
        <v>-9.6486</v>
      </c>
      <c r="V15" s="20">
        <f t="shared" si="3"/>
        <v>-8.28580000000001</v>
      </c>
      <c r="W15" s="20">
        <f t="shared" si="3"/>
        <v>-7.53189999999999</v>
      </c>
      <c r="X15" s="20">
        <f t="shared" si="3"/>
        <v>-11.1974</v>
      </c>
      <c r="Y15" s="20">
        <f t="shared" si="3"/>
        <v>-11.0765</v>
      </c>
      <c r="Z15" s="20">
        <f t="shared" si="3"/>
        <v>-10.2299</v>
      </c>
      <c r="AA15" s="20">
        <f t="shared" si="3"/>
        <v>-11.3001</v>
      </c>
    </row>
    <row r="16" s="1" customFormat="1" ht="20" hidden="1" customHeight="1" spans="1:27">
      <c r="A16" s="15">
        <v>46027</v>
      </c>
      <c r="B16" s="16">
        <v>4303121811816</v>
      </c>
      <c r="C16" s="17" t="s">
        <v>37</v>
      </c>
      <c r="D16" s="19">
        <v>59.12</v>
      </c>
      <c r="E16" s="19">
        <v>61.49</v>
      </c>
      <c r="F16" s="19">
        <v>67.49</v>
      </c>
      <c r="G16" s="19">
        <v>68.34</v>
      </c>
      <c r="H16" s="19">
        <v>66.12</v>
      </c>
      <c r="I16" s="19">
        <v>64.38</v>
      </c>
      <c r="J16" s="19">
        <v>66.38</v>
      </c>
      <c r="K16" s="19">
        <v>85.69</v>
      </c>
      <c r="L16" s="19">
        <v>93.34</v>
      </c>
      <c r="M16" s="19">
        <v>95.17</v>
      </c>
      <c r="N16" s="19">
        <v>94.38</v>
      </c>
      <c r="O16" s="19">
        <v>90.12</v>
      </c>
      <c r="P16" s="19">
        <v>88.31</v>
      </c>
      <c r="Q16" s="19">
        <v>92.12</v>
      </c>
      <c r="R16" s="19">
        <v>93.06</v>
      </c>
      <c r="S16" s="19">
        <v>94.52</v>
      </c>
      <c r="T16" s="19">
        <v>95.59</v>
      </c>
      <c r="U16" s="19">
        <v>94.17</v>
      </c>
      <c r="V16" s="19">
        <v>90.38</v>
      </c>
      <c r="W16" s="19">
        <v>91.59</v>
      </c>
      <c r="X16" s="19">
        <v>94.32</v>
      </c>
      <c r="Y16" s="19">
        <v>94.83</v>
      </c>
      <c r="Z16" s="19">
        <v>93.12</v>
      </c>
      <c r="AA16" s="19">
        <v>91.06</v>
      </c>
    </row>
    <row r="17" s="1" customFormat="1" ht="14.25" spans="1:28">
      <c r="A17" s="15"/>
      <c r="B17" s="16"/>
      <c r="C17" s="17" t="s">
        <v>38</v>
      </c>
      <c r="D17" s="19">
        <v>71.4859</v>
      </c>
      <c r="E17" s="19">
        <v>75.6114</v>
      </c>
      <c r="F17" s="19">
        <v>75.3315</v>
      </c>
      <c r="G17" s="19">
        <v>75.4002</v>
      </c>
      <c r="H17" s="19">
        <v>76.9718</v>
      </c>
      <c r="I17" s="19">
        <v>75.4424</v>
      </c>
      <c r="J17" s="19">
        <v>73.4747</v>
      </c>
      <c r="K17" s="19">
        <v>78.8435</v>
      </c>
      <c r="L17" s="19">
        <v>90.5027</v>
      </c>
      <c r="M17" s="19">
        <v>90.4429</v>
      </c>
      <c r="N17" s="19">
        <v>85.2738</v>
      </c>
      <c r="O17" s="19">
        <v>80.2314</v>
      </c>
      <c r="P17" s="19">
        <v>84.5451</v>
      </c>
      <c r="Q17" s="19">
        <v>86.5638</v>
      </c>
      <c r="R17" s="19">
        <v>91.7242</v>
      </c>
      <c r="S17" s="19">
        <v>92.8845</v>
      </c>
      <c r="T17" s="19">
        <v>94.2181</v>
      </c>
      <c r="U17" s="19">
        <v>94.3716</v>
      </c>
      <c r="V17" s="19">
        <v>86.9827</v>
      </c>
      <c r="W17" s="19">
        <v>86.9512</v>
      </c>
      <c r="X17" s="19">
        <v>89.8251</v>
      </c>
      <c r="Y17" s="19">
        <v>89.049</v>
      </c>
      <c r="Z17" s="19">
        <v>89.6667</v>
      </c>
      <c r="AA17" s="19">
        <v>85.3625</v>
      </c>
      <c r="AB17" s="21">
        <f>MAX(K17:AA17)</f>
        <v>94.3716</v>
      </c>
    </row>
    <row r="18" s="1" customFormat="1" ht="14.25" hidden="1" spans="1:27">
      <c r="A18" s="15"/>
      <c r="B18" s="16"/>
      <c r="C18" s="17" t="s">
        <v>39</v>
      </c>
      <c r="D18" s="19">
        <f t="shared" ref="D18:AA18" si="4">D16-D17</f>
        <v>-12.3659</v>
      </c>
      <c r="E18" s="19">
        <f t="shared" si="4"/>
        <v>-14.1214</v>
      </c>
      <c r="F18" s="19">
        <f t="shared" si="4"/>
        <v>-7.84150000000001</v>
      </c>
      <c r="G18" s="19">
        <f t="shared" si="4"/>
        <v>-7.06019999999999</v>
      </c>
      <c r="H18" s="19">
        <f t="shared" si="4"/>
        <v>-10.8518</v>
      </c>
      <c r="I18" s="19">
        <f t="shared" si="4"/>
        <v>-11.0624</v>
      </c>
      <c r="J18" s="19">
        <f t="shared" si="4"/>
        <v>-7.0947</v>
      </c>
      <c r="K18" s="19">
        <f t="shared" si="4"/>
        <v>6.84649999999999</v>
      </c>
      <c r="L18" s="19">
        <f t="shared" si="4"/>
        <v>2.8373</v>
      </c>
      <c r="M18" s="19">
        <f t="shared" si="4"/>
        <v>4.72710000000001</v>
      </c>
      <c r="N18" s="19">
        <f t="shared" si="4"/>
        <v>9.1062</v>
      </c>
      <c r="O18" s="19">
        <f t="shared" si="4"/>
        <v>9.88860000000001</v>
      </c>
      <c r="P18" s="19">
        <f t="shared" si="4"/>
        <v>3.7649</v>
      </c>
      <c r="Q18" s="19">
        <f t="shared" si="4"/>
        <v>5.5562</v>
      </c>
      <c r="R18" s="19">
        <f t="shared" si="4"/>
        <v>1.33580000000001</v>
      </c>
      <c r="S18" s="19">
        <f t="shared" si="4"/>
        <v>1.63549999999999</v>
      </c>
      <c r="T18" s="19">
        <f t="shared" si="4"/>
        <v>1.3719</v>
      </c>
      <c r="U18" s="19">
        <f t="shared" si="4"/>
        <v>-0.201599999999999</v>
      </c>
      <c r="V18" s="19">
        <f t="shared" si="4"/>
        <v>3.3973</v>
      </c>
      <c r="W18" s="19">
        <f t="shared" si="4"/>
        <v>4.6388</v>
      </c>
      <c r="X18" s="19">
        <f t="shared" si="4"/>
        <v>4.49489999999999</v>
      </c>
      <c r="Y18" s="19">
        <f t="shared" si="4"/>
        <v>5.78099999999999</v>
      </c>
      <c r="Z18" s="19">
        <f t="shared" si="4"/>
        <v>3.4533</v>
      </c>
      <c r="AA18" s="19">
        <f t="shared" si="4"/>
        <v>5.69750000000001</v>
      </c>
    </row>
    <row r="19" s="1" customFormat="1" ht="20" hidden="1" customHeight="1" spans="1:27">
      <c r="A19" s="15">
        <v>46028</v>
      </c>
      <c r="B19" s="16">
        <v>4303121811816</v>
      </c>
      <c r="C19" s="17" t="s">
        <v>37</v>
      </c>
      <c r="D19" s="20">
        <v>90.56</v>
      </c>
      <c r="E19" s="20">
        <v>93.12</v>
      </c>
      <c r="F19" s="20">
        <v>93.87</v>
      </c>
      <c r="G19" s="20">
        <v>95.59</v>
      </c>
      <c r="H19" s="20">
        <v>94.12</v>
      </c>
      <c r="I19" s="20">
        <v>92.87</v>
      </c>
      <c r="J19" s="20">
        <v>91.03</v>
      </c>
      <c r="K19" s="20">
        <v>93.54</v>
      </c>
      <c r="L19" s="20">
        <v>95.61</v>
      </c>
      <c r="M19" s="20">
        <v>95.89</v>
      </c>
      <c r="N19" s="20">
        <v>93.12</v>
      </c>
      <c r="O19" s="20">
        <v>90.09</v>
      </c>
      <c r="P19" s="20">
        <v>89.57</v>
      </c>
      <c r="Q19" s="20">
        <v>93.64</v>
      </c>
      <c r="R19" s="20">
        <v>94.58</v>
      </c>
      <c r="S19" s="20">
        <v>96.13</v>
      </c>
      <c r="T19" s="20">
        <v>96.68</v>
      </c>
      <c r="U19" s="20">
        <v>97.49</v>
      </c>
      <c r="V19" s="20">
        <v>94.36</v>
      </c>
      <c r="W19" s="20">
        <v>92.17</v>
      </c>
      <c r="X19" s="20">
        <v>95.34</v>
      </c>
      <c r="Y19" s="20">
        <v>96.48</v>
      </c>
      <c r="Z19" s="20">
        <v>93.26</v>
      </c>
      <c r="AA19" s="20">
        <v>91.45</v>
      </c>
    </row>
    <row r="20" s="1" customFormat="1" ht="14.25" spans="1:28">
      <c r="A20" s="15"/>
      <c r="B20" s="16"/>
      <c r="C20" s="17" t="s">
        <v>38</v>
      </c>
      <c r="D20" s="20">
        <v>84.9974</v>
      </c>
      <c r="E20" s="20">
        <v>87.736</v>
      </c>
      <c r="F20" s="20">
        <v>87.8992</v>
      </c>
      <c r="G20" s="20">
        <v>88.9878</v>
      </c>
      <c r="H20" s="20">
        <v>87.8064</v>
      </c>
      <c r="I20" s="20">
        <v>88.8061</v>
      </c>
      <c r="J20" s="20">
        <v>86.2277</v>
      </c>
      <c r="K20" s="20">
        <v>86.7346</v>
      </c>
      <c r="L20" s="20">
        <v>97.7346</v>
      </c>
      <c r="M20" s="20">
        <v>94.5243</v>
      </c>
      <c r="N20" s="20">
        <v>87.113</v>
      </c>
      <c r="O20" s="20">
        <v>83.3237</v>
      </c>
      <c r="P20" s="20">
        <v>87.66</v>
      </c>
      <c r="Q20" s="20">
        <v>89.3974</v>
      </c>
      <c r="R20" s="20">
        <v>91.1574</v>
      </c>
      <c r="S20" s="20">
        <v>94.6757</v>
      </c>
      <c r="T20" s="20">
        <v>97.5709</v>
      </c>
      <c r="U20" s="20">
        <v>94.5155</v>
      </c>
      <c r="V20" s="20">
        <v>90.0416</v>
      </c>
      <c r="W20" s="20">
        <v>87.641</v>
      </c>
      <c r="X20" s="20">
        <v>92.1853</v>
      </c>
      <c r="Y20" s="20">
        <v>91.1997</v>
      </c>
      <c r="Z20" s="20">
        <v>91.0518</v>
      </c>
      <c r="AA20" s="20">
        <v>87.3418</v>
      </c>
      <c r="AB20" s="21">
        <f>MAX(K20:AA20)</f>
        <v>97.7346</v>
      </c>
    </row>
    <row r="21" s="1" customFormat="1" ht="15" hidden="1" customHeight="1" spans="1:27">
      <c r="A21" s="15"/>
      <c r="B21" s="16"/>
      <c r="C21" s="17" t="s">
        <v>39</v>
      </c>
      <c r="D21" s="20">
        <f t="shared" ref="D21:AA21" si="5">D19-D20</f>
        <v>5.5626</v>
      </c>
      <c r="E21" s="20">
        <f t="shared" si="5"/>
        <v>5.384</v>
      </c>
      <c r="F21" s="20">
        <f t="shared" si="5"/>
        <v>5.97080000000001</v>
      </c>
      <c r="G21" s="20">
        <f t="shared" si="5"/>
        <v>6.60220000000001</v>
      </c>
      <c r="H21" s="20">
        <f t="shared" si="5"/>
        <v>6.31360000000001</v>
      </c>
      <c r="I21" s="20">
        <f t="shared" si="5"/>
        <v>4.0639</v>
      </c>
      <c r="J21" s="20">
        <f t="shared" si="5"/>
        <v>4.8023</v>
      </c>
      <c r="K21" s="20">
        <f t="shared" si="5"/>
        <v>6.80540000000001</v>
      </c>
      <c r="L21" s="20">
        <f t="shared" si="5"/>
        <v>-2.1246</v>
      </c>
      <c r="M21" s="20">
        <f t="shared" si="5"/>
        <v>1.3657</v>
      </c>
      <c r="N21" s="20">
        <f t="shared" si="5"/>
        <v>6.007</v>
      </c>
      <c r="O21" s="20">
        <f t="shared" si="5"/>
        <v>6.7663</v>
      </c>
      <c r="P21" s="20">
        <f t="shared" si="5"/>
        <v>1.91</v>
      </c>
      <c r="Q21" s="20">
        <f t="shared" si="5"/>
        <v>4.2426</v>
      </c>
      <c r="R21" s="20">
        <f t="shared" si="5"/>
        <v>3.4226</v>
      </c>
      <c r="S21" s="20">
        <f t="shared" si="5"/>
        <v>1.45429999999999</v>
      </c>
      <c r="T21" s="20">
        <f t="shared" si="5"/>
        <v>-0.890899999999988</v>
      </c>
      <c r="U21" s="20">
        <f t="shared" si="5"/>
        <v>2.97449999999999</v>
      </c>
      <c r="V21" s="20">
        <f t="shared" si="5"/>
        <v>4.3184</v>
      </c>
      <c r="W21" s="20">
        <f t="shared" si="5"/>
        <v>4.529</v>
      </c>
      <c r="X21" s="20">
        <f t="shared" si="5"/>
        <v>3.15470000000001</v>
      </c>
      <c r="Y21" s="20">
        <f t="shared" si="5"/>
        <v>5.2803</v>
      </c>
      <c r="Z21" s="20">
        <f t="shared" si="5"/>
        <v>2.2082</v>
      </c>
      <c r="AA21" s="20">
        <f t="shared" si="5"/>
        <v>4.1082</v>
      </c>
    </row>
    <row r="22" s="1" customFormat="1" ht="20" hidden="1" customHeight="1" spans="1:27">
      <c r="A22" s="15">
        <v>46029</v>
      </c>
      <c r="B22" s="16">
        <v>4303121811816</v>
      </c>
      <c r="C22" s="17" t="s">
        <v>37</v>
      </c>
      <c r="D22" s="19">
        <v>91.27</v>
      </c>
      <c r="E22" s="19">
        <v>92.13</v>
      </c>
      <c r="F22" s="19">
        <v>93.54</v>
      </c>
      <c r="G22" s="19">
        <v>94.16</v>
      </c>
      <c r="H22" s="19">
        <v>93.49</v>
      </c>
      <c r="I22" s="19">
        <v>90.56</v>
      </c>
      <c r="J22" s="19">
        <v>90.12</v>
      </c>
      <c r="K22" s="19">
        <v>92.34</v>
      </c>
      <c r="L22" s="19">
        <v>94.69</v>
      </c>
      <c r="M22" s="19">
        <v>95.13</v>
      </c>
      <c r="N22" s="32">
        <v>94.34</v>
      </c>
      <c r="O22" s="32">
        <v>92.13</v>
      </c>
      <c r="P22" s="32">
        <v>91.58</v>
      </c>
      <c r="Q22" s="32">
        <v>92.46</v>
      </c>
      <c r="R22" s="32">
        <v>94.58</v>
      </c>
      <c r="S22" s="19">
        <v>95.36</v>
      </c>
      <c r="T22" s="19">
        <v>96.74</v>
      </c>
      <c r="U22" s="19">
        <v>97.38</v>
      </c>
      <c r="V22" s="19">
        <v>92.16</v>
      </c>
      <c r="W22" s="19">
        <v>93.46</v>
      </c>
      <c r="X22" s="19">
        <v>95.12</v>
      </c>
      <c r="Y22" s="19">
        <v>95.47</v>
      </c>
      <c r="Z22" s="19">
        <v>95.89</v>
      </c>
      <c r="AA22" s="19">
        <v>92.12</v>
      </c>
    </row>
    <row r="23" s="1" customFormat="1" ht="14.25" spans="1:28">
      <c r="A23" s="15"/>
      <c r="B23" s="16"/>
      <c r="C23" s="17" t="s">
        <v>38</v>
      </c>
      <c r="D23" s="19">
        <v>86.7874</v>
      </c>
      <c r="E23" s="19">
        <v>90.9462</v>
      </c>
      <c r="F23" s="19">
        <v>90.1507</v>
      </c>
      <c r="G23" s="19">
        <v>89.7566</v>
      </c>
      <c r="H23" s="19">
        <v>88.9469</v>
      </c>
      <c r="I23" s="19">
        <v>88.9187</v>
      </c>
      <c r="J23" s="19">
        <v>84.8954</v>
      </c>
      <c r="K23" s="19">
        <v>88.0774</v>
      </c>
      <c r="L23" s="19">
        <v>95.1142</v>
      </c>
      <c r="M23" s="34">
        <v>93.1042</v>
      </c>
      <c r="N23" s="36">
        <v>87.0584</v>
      </c>
      <c r="O23" s="37">
        <v>83.6686</v>
      </c>
      <c r="P23" s="36">
        <v>81.1659</v>
      </c>
      <c r="Q23" s="36">
        <v>88.3379</v>
      </c>
      <c r="R23" s="36">
        <v>92.4155</v>
      </c>
      <c r="S23" s="35">
        <v>95.612</v>
      </c>
      <c r="T23" s="19">
        <v>96.573</v>
      </c>
      <c r="U23" s="19">
        <v>94.3725</v>
      </c>
      <c r="V23" s="19">
        <v>89.3376</v>
      </c>
      <c r="W23" s="19">
        <v>87.9419</v>
      </c>
      <c r="X23" s="19">
        <v>91.3968</v>
      </c>
      <c r="Y23" s="19">
        <v>89.5787</v>
      </c>
      <c r="Z23" s="19">
        <v>89.4344</v>
      </c>
      <c r="AA23" s="19">
        <v>86.0411</v>
      </c>
      <c r="AB23" s="21">
        <f>MAX(K23:AA23)</f>
        <v>96.573</v>
      </c>
    </row>
    <row r="24" s="1" customFormat="1" ht="14.25" hidden="1" spans="1:27">
      <c r="A24" s="15"/>
      <c r="B24" s="16"/>
      <c r="C24" s="17" t="s">
        <v>39</v>
      </c>
      <c r="D24" s="19">
        <f t="shared" ref="D24:AA24" si="6">D22-D23</f>
        <v>4.48259999999999</v>
      </c>
      <c r="E24" s="19">
        <f t="shared" si="6"/>
        <v>1.18379999999999</v>
      </c>
      <c r="F24" s="19">
        <f t="shared" si="6"/>
        <v>3.38930000000001</v>
      </c>
      <c r="G24" s="19">
        <f t="shared" si="6"/>
        <v>4.40339999999999</v>
      </c>
      <c r="H24" s="19">
        <f t="shared" si="6"/>
        <v>4.5431</v>
      </c>
      <c r="I24" s="19">
        <f t="shared" si="6"/>
        <v>1.6413</v>
      </c>
      <c r="J24" s="19">
        <f t="shared" si="6"/>
        <v>5.22460000000001</v>
      </c>
      <c r="K24" s="19">
        <f t="shared" si="6"/>
        <v>4.26260000000001</v>
      </c>
      <c r="L24" s="19">
        <f t="shared" si="6"/>
        <v>-0.424199999999999</v>
      </c>
      <c r="M24" s="19">
        <f t="shared" si="6"/>
        <v>2.02579999999999</v>
      </c>
      <c r="N24" s="33">
        <f t="shared" si="6"/>
        <v>7.2816</v>
      </c>
      <c r="O24" s="33">
        <f t="shared" si="6"/>
        <v>8.4614</v>
      </c>
      <c r="P24" s="33">
        <f t="shared" si="6"/>
        <v>10.4141</v>
      </c>
      <c r="Q24" s="33">
        <f t="shared" si="6"/>
        <v>4.12209999999999</v>
      </c>
      <c r="R24" s="33">
        <f t="shared" si="6"/>
        <v>2.1645</v>
      </c>
      <c r="S24" s="19">
        <f t="shared" si="6"/>
        <v>-0.251999999999995</v>
      </c>
      <c r="T24" s="19">
        <f t="shared" si="6"/>
        <v>0.167000000000002</v>
      </c>
      <c r="U24" s="19">
        <f t="shared" si="6"/>
        <v>3.00749999999999</v>
      </c>
      <c r="V24" s="19">
        <f t="shared" si="6"/>
        <v>2.8224</v>
      </c>
      <c r="W24" s="19">
        <f t="shared" si="6"/>
        <v>5.51809999999999</v>
      </c>
      <c r="X24" s="19">
        <f t="shared" si="6"/>
        <v>3.72320000000001</v>
      </c>
      <c r="Y24" s="19">
        <f t="shared" si="6"/>
        <v>5.8913</v>
      </c>
      <c r="Z24" s="19">
        <f t="shared" si="6"/>
        <v>6.4556</v>
      </c>
      <c r="AA24" s="19">
        <f t="shared" si="6"/>
        <v>6.0789</v>
      </c>
    </row>
    <row r="25" s="1" customFormat="1" ht="20" hidden="1" customHeight="1" spans="1:27">
      <c r="A25" s="15">
        <v>46030</v>
      </c>
      <c r="B25" s="16">
        <v>4303121811816</v>
      </c>
      <c r="C25" s="17" t="s">
        <v>37</v>
      </c>
      <c r="D25" s="20">
        <v>91.08</v>
      </c>
      <c r="E25" s="20">
        <v>92.59</v>
      </c>
      <c r="F25" s="20">
        <v>93.54</v>
      </c>
      <c r="G25" s="20">
        <v>93.79</v>
      </c>
      <c r="H25" s="20">
        <v>92.83</v>
      </c>
      <c r="I25" s="20">
        <v>90.16</v>
      </c>
      <c r="J25" s="20">
        <v>90.03</v>
      </c>
      <c r="K25" s="20">
        <v>92.35</v>
      </c>
      <c r="L25" s="20">
        <v>94.58</v>
      </c>
      <c r="M25" s="20">
        <v>95.47</v>
      </c>
      <c r="N25" s="20">
        <v>94.12</v>
      </c>
      <c r="O25" s="20">
        <v>91.43</v>
      </c>
      <c r="P25" s="20">
        <v>90.56</v>
      </c>
      <c r="Q25" s="20">
        <v>92.37</v>
      </c>
      <c r="R25" s="20">
        <v>94.48</v>
      </c>
      <c r="S25" s="20">
        <v>95.87</v>
      </c>
      <c r="T25" s="20">
        <v>96.12</v>
      </c>
      <c r="U25" s="20">
        <v>96.59</v>
      </c>
      <c r="V25" s="20">
        <v>93.12</v>
      </c>
      <c r="W25" s="20">
        <v>93.89</v>
      </c>
      <c r="X25" s="20">
        <v>95.34</v>
      </c>
      <c r="Y25" s="20">
        <v>95.89</v>
      </c>
      <c r="Z25" s="20">
        <v>94.13</v>
      </c>
      <c r="AA25" s="20">
        <v>92.06</v>
      </c>
    </row>
    <row r="26" s="1" customFormat="1" ht="14.25" spans="1:28">
      <c r="A26" s="15"/>
      <c r="B26" s="16"/>
      <c r="C26" s="17" t="s">
        <v>38</v>
      </c>
      <c r="D26" s="20">
        <v>85.1506</v>
      </c>
      <c r="E26" s="20">
        <v>89.9237</v>
      </c>
      <c r="F26" s="20">
        <v>90.1577</v>
      </c>
      <c r="G26" s="20">
        <v>92.897</v>
      </c>
      <c r="H26" s="20">
        <v>90.5062</v>
      </c>
      <c r="I26" s="20">
        <v>89.8163</v>
      </c>
      <c r="J26" s="20">
        <v>86.8138</v>
      </c>
      <c r="K26" s="20">
        <v>89.0655</v>
      </c>
      <c r="L26" s="20">
        <v>95.6736</v>
      </c>
      <c r="M26" s="20">
        <v>91.997</v>
      </c>
      <c r="N26" s="20">
        <v>86.196</v>
      </c>
      <c r="O26" s="20">
        <v>83.6845</v>
      </c>
      <c r="P26" s="20">
        <v>80.865</v>
      </c>
      <c r="Q26" s="20">
        <v>88.5931</v>
      </c>
      <c r="R26" s="20">
        <v>90.8019</v>
      </c>
      <c r="S26" s="20">
        <v>92.6992</v>
      </c>
      <c r="T26" s="20">
        <v>96.1488</v>
      </c>
      <c r="U26" s="20">
        <v>94.6563</v>
      </c>
      <c r="V26" s="20">
        <v>89.3904</v>
      </c>
      <c r="W26" s="20">
        <v>87.0373</v>
      </c>
      <c r="X26" s="20">
        <v>91.7206</v>
      </c>
      <c r="Y26" s="20">
        <v>92.5408</v>
      </c>
      <c r="Z26" s="20">
        <v>89.371</v>
      </c>
      <c r="AA26" s="20">
        <v>85.675</v>
      </c>
      <c r="AB26" s="21">
        <f>MAX(K26:AA26)</f>
        <v>96.1488</v>
      </c>
    </row>
    <row r="27" s="1" customFormat="1" ht="14.25" hidden="1" spans="1:27">
      <c r="A27" s="15"/>
      <c r="B27" s="16"/>
      <c r="C27" s="17" t="s">
        <v>39</v>
      </c>
      <c r="D27" s="20">
        <f t="shared" ref="D27:AA27" si="7">D25-D26</f>
        <v>5.9294</v>
      </c>
      <c r="E27" s="20">
        <f t="shared" si="7"/>
        <v>2.66630000000001</v>
      </c>
      <c r="F27" s="20">
        <f t="shared" si="7"/>
        <v>3.3823</v>
      </c>
      <c r="G27" s="20">
        <f t="shared" si="7"/>
        <v>0.893000000000001</v>
      </c>
      <c r="H27" s="20">
        <f t="shared" si="7"/>
        <v>2.32379999999999</v>
      </c>
      <c r="I27" s="20">
        <f t="shared" si="7"/>
        <v>0.343699999999998</v>
      </c>
      <c r="J27" s="20">
        <f t="shared" si="7"/>
        <v>3.2162</v>
      </c>
      <c r="K27" s="20">
        <f t="shared" si="7"/>
        <v>3.28449999999999</v>
      </c>
      <c r="L27" s="20">
        <f t="shared" si="7"/>
        <v>-1.0936</v>
      </c>
      <c r="M27" s="20">
        <f t="shared" si="7"/>
        <v>3.473</v>
      </c>
      <c r="N27" s="20">
        <f t="shared" si="7"/>
        <v>7.92400000000001</v>
      </c>
      <c r="O27" s="20">
        <f t="shared" si="7"/>
        <v>7.74550000000001</v>
      </c>
      <c r="P27" s="20">
        <f t="shared" si="7"/>
        <v>9.69500000000001</v>
      </c>
      <c r="Q27" s="20">
        <f t="shared" si="7"/>
        <v>3.7769</v>
      </c>
      <c r="R27" s="20">
        <f t="shared" si="7"/>
        <v>3.6781</v>
      </c>
      <c r="S27" s="20">
        <f t="shared" si="7"/>
        <v>3.1708</v>
      </c>
      <c r="T27" s="20">
        <f t="shared" si="7"/>
        <v>-0.0287999999999897</v>
      </c>
      <c r="U27" s="20">
        <f t="shared" si="7"/>
        <v>1.9337</v>
      </c>
      <c r="V27" s="20">
        <f t="shared" si="7"/>
        <v>3.7296</v>
      </c>
      <c r="W27" s="20">
        <f t="shared" si="7"/>
        <v>6.8527</v>
      </c>
      <c r="X27" s="20">
        <f t="shared" si="7"/>
        <v>3.6194</v>
      </c>
      <c r="Y27" s="20">
        <f t="shared" si="7"/>
        <v>3.3492</v>
      </c>
      <c r="Z27" s="20">
        <f t="shared" si="7"/>
        <v>4.759</v>
      </c>
      <c r="AA27" s="20">
        <f t="shared" si="7"/>
        <v>6.38500000000001</v>
      </c>
    </row>
    <row r="28" s="1" customFormat="1" ht="20" hidden="1" customHeight="1" spans="1:27">
      <c r="A28" s="15">
        <v>46031</v>
      </c>
      <c r="B28" s="16">
        <v>4303121811816</v>
      </c>
      <c r="C28" s="17" t="s">
        <v>37</v>
      </c>
      <c r="D28" s="19">
        <v>90.45</v>
      </c>
      <c r="E28" s="19">
        <v>92.37</v>
      </c>
      <c r="F28" s="19">
        <v>93.12</v>
      </c>
      <c r="G28" s="19">
        <v>93.59</v>
      </c>
      <c r="H28" s="19">
        <v>93.08</v>
      </c>
      <c r="I28" s="19">
        <v>91.5</v>
      </c>
      <c r="J28" s="19">
        <v>90.43</v>
      </c>
      <c r="K28" s="19">
        <v>91.82</v>
      </c>
      <c r="L28" s="19">
        <v>94.59</v>
      </c>
      <c r="M28" s="19">
        <v>94.87</v>
      </c>
      <c r="N28" s="19">
        <v>94.12</v>
      </c>
      <c r="O28" s="19">
        <v>92.03</v>
      </c>
      <c r="P28" s="19">
        <v>91.06</v>
      </c>
      <c r="Q28" s="19">
        <v>92.48</v>
      </c>
      <c r="R28" s="19">
        <v>93.54</v>
      </c>
      <c r="S28" s="19">
        <v>95.68</v>
      </c>
      <c r="T28" s="19">
        <v>96.12</v>
      </c>
      <c r="U28" s="19">
        <v>96.58</v>
      </c>
      <c r="V28" s="19">
        <v>93.13</v>
      </c>
      <c r="W28" s="19">
        <v>95.35</v>
      </c>
      <c r="X28" s="19">
        <v>95.12</v>
      </c>
      <c r="Y28" s="19">
        <v>94.49</v>
      </c>
      <c r="Z28" s="19">
        <v>92.17</v>
      </c>
      <c r="AA28" s="19">
        <v>90.69</v>
      </c>
    </row>
    <row r="29" s="1" customFormat="1" ht="14.25" spans="1:28">
      <c r="A29" s="15"/>
      <c r="B29" s="16"/>
      <c r="C29" s="17" t="s">
        <v>38</v>
      </c>
      <c r="D29" s="19">
        <v>86.2699</v>
      </c>
      <c r="E29" s="19">
        <v>90.4376</v>
      </c>
      <c r="F29" s="19">
        <v>90.7721</v>
      </c>
      <c r="G29" s="19">
        <v>91.9582</v>
      </c>
      <c r="H29" s="19">
        <v>92.3895</v>
      </c>
      <c r="I29" s="19">
        <v>89.7794</v>
      </c>
      <c r="J29" s="19">
        <v>88.521</v>
      </c>
      <c r="K29" s="19">
        <v>90.7833</v>
      </c>
      <c r="L29" s="19">
        <v>97.2787</v>
      </c>
      <c r="M29" s="19">
        <v>91.6309</v>
      </c>
      <c r="N29" s="19">
        <v>90.0979</v>
      </c>
      <c r="O29" s="19">
        <v>82.3064</v>
      </c>
      <c r="P29" s="19">
        <v>80.6062</v>
      </c>
      <c r="Q29" s="19">
        <v>88.843</v>
      </c>
      <c r="R29" s="19">
        <v>90.3126</v>
      </c>
      <c r="S29" s="19">
        <v>92.0357</v>
      </c>
      <c r="T29" s="19">
        <v>95.8338</v>
      </c>
      <c r="U29" s="19">
        <v>96.0467</v>
      </c>
      <c r="V29" s="19">
        <v>90.3003</v>
      </c>
      <c r="W29" s="19">
        <v>85.6856</v>
      </c>
      <c r="X29" s="19">
        <v>91.2578</v>
      </c>
      <c r="Y29" s="19">
        <v>90.1595</v>
      </c>
      <c r="Z29" s="19">
        <v>87.6726</v>
      </c>
      <c r="AA29" s="19">
        <v>87.5107</v>
      </c>
      <c r="AB29" s="21">
        <f>MAX(K29:AA29)</f>
        <v>97.2787</v>
      </c>
    </row>
    <row r="30" s="1" customFormat="1" ht="14.25" hidden="1" spans="1:27">
      <c r="A30" s="15"/>
      <c r="B30" s="16"/>
      <c r="C30" s="17" t="s">
        <v>39</v>
      </c>
      <c r="D30" s="19">
        <f t="shared" ref="D30:AA30" si="8">D28-D29</f>
        <v>4.1801</v>
      </c>
      <c r="E30" s="19">
        <f t="shared" si="8"/>
        <v>1.9324</v>
      </c>
      <c r="F30" s="19">
        <f t="shared" si="8"/>
        <v>2.34790000000001</v>
      </c>
      <c r="G30" s="19">
        <f t="shared" si="8"/>
        <v>1.6318</v>
      </c>
      <c r="H30" s="19">
        <f t="shared" si="8"/>
        <v>0.6905</v>
      </c>
      <c r="I30" s="19">
        <f t="shared" si="8"/>
        <v>1.7206</v>
      </c>
      <c r="J30" s="19">
        <f t="shared" si="8"/>
        <v>1.90900000000001</v>
      </c>
      <c r="K30" s="19">
        <f t="shared" si="8"/>
        <v>1.0367</v>
      </c>
      <c r="L30" s="19">
        <f t="shared" si="8"/>
        <v>-2.6887</v>
      </c>
      <c r="M30" s="19">
        <f t="shared" si="8"/>
        <v>3.23910000000001</v>
      </c>
      <c r="N30" s="19">
        <f t="shared" si="8"/>
        <v>4.02210000000001</v>
      </c>
      <c r="O30" s="19">
        <f t="shared" si="8"/>
        <v>9.7236</v>
      </c>
      <c r="P30" s="19">
        <f t="shared" si="8"/>
        <v>10.4538</v>
      </c>
      <c r="Q30" s="19">
        <f t="shared" si="8"/>
        <v>3.637</v>
      </c>
      <c r="R30" s="19">
        <f t="shared" si="8"/>
        <v>3.2274</v>
      </c>
      <c r="S30" s="19">
        <f t="shared" si="8"/>
        <v>3.6443</v>
      </c>
      <c r="T30" s="19">
        <f t="shared" si="8"/>
        <v>0.286200000000008</v>
      </c>
      <c r="U30" s="19">
        <f t="shared" si="8"/>
        <v>0.533299999999997</v>
      </c>
      <c r="V30" s="19">
        <f t="shared" si="8"/>
        <v>2.8297</v>
      </c>
      <c r="W30" s="19">
        <f t="shared" si="8"/>
        <v>9.6644</v>
      </c>
      <c r="X30" s="19">
        <f t="shared" si="8"/>
        <v>3.8622</v>
      </c>
      <c r="Y30" s="19">
        <f t="shared" si="8"/>
        <v>4.3305</v>
      </c>
      <c r="Z30" s="19">
        <f t="shared" si="8"/>
        <v>4.4974</v>
      </c>
      <c r="AA30" s="19">
        <f t="shared" si="8"/>
        <v>3.1793</v>
      </c>
    </row>
    <row r="31" s="1" customFormat="1" ht="20" hidden="1" customHeight="1" spans="1:27">
      <c r="A31" s="15">
        <v>46032</v>
      </c>
      <c r="B31" s="16">
        <v>4303121811816</v>
      </c>
      <c r="C31" s="17" t="s">
        <v>37</v>
      </c>
      <c r="D31" s="20">
        <v>90.33</v>
      </c>
      <c r="E31" s="20">
        <v>92.54</v>
      </c>
      <c r="F31" s="20">
        <v>93.22</v>
      </c>
      <c r="G31" s="20">
        <v>93.62</v>
      </c>
      <c r="H31" s="20">
        <v>93.18</v>
      </c>
      <c r="I31" s="20">
        <v>91.31</v>
      </c>
      <c r="J31" s="20">
        <v>90.54</v>
      </c>
      <c r="K31" s="20">
        <v>91.77</v>
      </c>
      <c r="L31" s="20">
        <v>94.48</v>
      </c>
      <c r="M31" s="20">
        <v>94.77</v>
      </c>
      <c r="N31" s="20">
        <v>92.33</v>
      </c>
      <c r="O31" s="20">
        <v>92.11</v>
      </c>
      <c r="P31" s="20">
        <v>91.22</v>
      </c>
      <c r="Q31" s="20">
        <v>92.36</v>
      </c>
      <c r="R31" s="20">
        <v>93.66</v>
      </c>
      <c r="S31" s="20">
        <v>95.28</v>
      </c>
      <c r="T31" s="20">
        <v>96.31</v>
      </c>
      <c r="U31" s="20">
        <v>96.28</v>
      </c>
      <c r="V31" s="20">
        <v>93.33</v>
      </c>
      <c r="W31" s="20">
        <v>95.41</v>
      </c>
      <c r="X31" s="20">
        <v>95.21</v>
      </c>
      <c r="Y31" s="20">
        <v>94.38</v>
      </c>
      <c r="Z31" s="20">
        <v>92.22</v>
      </c>
      <c r="AA31" s="20">
        <v>90.58</v>
      </c>
    </row>
    <row r="32" s="1" customFormat="1" ht="14.25" spans="1:28">
      <c r="A32" s="15"/>
      <c r="B32" s="16"/>
      <c r="C32" s="17" t="s">
        <v>38</v>
      </c>
      <c r="D32" s="20">
        <v>84.9605</v>
      </c>
      <c r="E32" s="20">
        <v>90.8142</v>
      </c>
      <c r="F32" s="20">
        <v>89.6811</v>
      </c>
      <c r="G32" s="20">
        <v>89.731</v>
      </c>
      <c r="H32" s="20">
        <v>90.8371</v>
      </c>
      <c r="I32" s="20">
        <v>89.6755</v>
      </c>
      <c r="J32" s="20">
        <v>89.1916</v>
      </c>
      <c r="K32" s="20">
        <v>86.1784</v>
      </c>
      <c r="L32" s="20">
        <v>96.1822</v>
      </c>
      <c r="M32" s="20">
        <v>91.6678</v>
      </c>
      <c r="N32" s="20">
        <v>88.1214</v>
      </c>
      <c r="O32" s="20">
        <v>80.5781</v>
      </c>
      <c r="P32" s="20">
        <v>79.2546</v>
      </c>
      <c r="Q32" s="20">
        <v>84.6384</v>
      </c>
      <c r="R32" s="20">
        <v>89.3147</v>
      </c>
      <c r="S32" s="20">
        <v>91.96</v>
      </c>
      <c r="T32" s="20">
        <v>90.995</v>
      </c>
      <c r="U32" s="20">
        <v>90.9938</v>
      </c>
      <c r="V32" s="20">
        <v>88.1795</v>
      </c>
      <c r="W32" s="20">
        <v>86.3632</v>
      </c>
      <c r="X32" s="20">
        <v>88.447</v>
      </c>
      <c r="Y32" s="20">
        <v>89.056</v>
      </c>
      <c r="Z32" s="20">
        <v>87.6445</v>
      </c>
      <c r="AA32" s="20">
        <v>84.612</v>
      </c>
      <c r="AB32" s="21">
        <f>MAX(K32:AA32)</f>
        <v>96.1822</v>
      </c>
    </row>
    <row r="33" s="1" customFormat="1" ht="14.25" hidden="1" spans="1:27">
      <c r="A33" s="15"/>
      <c r="B33" s="16"/>
      <c r="C33" s="17" t="s">
        <v>39</v>
      </c>
      <c r="D33" s="20">
        <f t="shared" ref="D33:AA33" si="9">D31-D32</f>
        <v>5.3695</v>
      </c>
      <c r="E33" s="20">
        <f t="shared" si="9"/>
        <v>1.72580000000001</v>
      </c>
      <c r="F33" s="20">
        <f t="shared" si="9"/>
        <v>3.5389</v>
      </c>
      <c r="G33" s="20">
        <f t="shared" si="9"/>
        <v>3.88900000000001</v>
      </c>
      <c r="H33" s="20">
        <f t="shared" si="9"/>
        <v>2.3429</v>
      </c>
      <c r="I33" s="20">
        <f t="shared" si="9"/>
        <v>1.6345</v>
      </c>
      <c r="J33" s="20">
        <f t="shared" si="9"/>
        <v>1.34840000000001</v>
      </c>
      <c r="K33" s="20">
        <f t="shared" si="9"/>
        <v>5.5916</v>
      </c>
      <c r="L33" s="20">
        <f t="shared" si="9"/>
        <v>-1.70219999999999</v>
      </c>
      <c r="M33" s="20">
        <f t="shared" si="9"/>
        <v>3.1022</v>
      </c>
      <c r="N33" s="20">
        <f t="shared" si="9"/>
        <v>4.2086</v>
      </c>
      <c r="O33" s="20">
        <f t="shared" si="9"/>
        <v>11.5319</v>
      </c>
      <c r="P33" s="20">
        <f t="shared" si="9"/>
        <v>11.9654</v>
      </c>
      <c r="Q33" s="20">
        <f t="shared" si="9"/>
        <v>7.7216</v>
      </c>
      <c r="R33" s="20">
        <f t="shared" si="9"/>
        <v>4.34529999999999</v>
      </c>
      <c r="S33" s="20">
        <f t="shared" si="9"/>
        <v>3.32000000000001</v>
      </c>
      <c r="T33" s="20">
        <f t="shared" si="9"/>
        <v>5.315</v>
      </c>
      <c r="U33" s="20">
        <f t="shared" si="9"/>
        <v>5.28620000000001</v>
      </c>
      <c r="V33" s="20">
        <f t="shared" si="9"/>
        <v>5.15049999999999</v>
      </c>
      <c r="W33" s="20">
        <f t="shared" si="9"/>
        <v>9.04679999999999</v>
      </c>
      <c r="X33" s="20">
        <f t="shared" si="9"/>
        <v>6.76299999999999</v>
      </c>
      <c r="Y33" s="20">
        <f t="shared" si="9"/>
        <v>5.324</v>
      </c>
      <c r="Z33" s="20">
        <f t="shared" si="9"/>
        <v>4.57550000000001</v>
      </c>
      <c r="AA33" s="20">
        <f t="shared" si="9"/>
        <v>5.968</v>
      </c>
    </row>
    <row r="34" s="1" customFormat="1" ht="20" hidden="1" customHeight="1" spans="1:27">
      <c r="A34" s="15">
        <v>46033</v>
      </c>
      <c r="B34" s="16">
        <v>4303121811816</v>
      </c>
      <c r="C34" s="17" t="s">
        <v>37</v>
      </c>
      <c r="D34" s="19">
        <v>89.58</v>
      </c>
      <c r="E34" s="19">
        <v>89.22</v>
      </c>
      <c r="F34" s="19">
        <v>90.54</v>
      </c>
      <c r="G34" s="19">
        <v>88.71</v>
      </c>
      <c r="H34" s="19">
        <v>87.66</v>
      </c>
      <c r="I34" s="19">
        <v>85.52</v>
      </c>
      <c r="J34" s="19">
        <v>82.33</v>
      </c>
      <c r="K34" s="19">
        <v>79.88</v>
      </c>
      <c r="L34" s="19">
        <v>78.62</v>
      </c>
      <c r="M34" s="19">
        <v>75.66</v>
      </c>
      <c r="N34" s="19">
        <v>70.55</v>
      </c>
      <c r="O34" s="19">
        <v>67.11</v>
      </c>
      <c r="P34" s="19">
        <v>65.42</v>
      </c>
      <c r="Q34" s="19">
        <v>70.52</v>
      </c>
      <c r="R34" s="19">
        <v>74.33</v>
      </c>
      <c r="S34" s="19">
        <v>78.11</v>
      </c>
      <c r="T34" s="19">
        <v>78.22</v>
      </c>
      <c r="U34" s="19">
        <v>78.18</v>
      </c>
      <c r="V34" s="19">
        <v>74.72</v>
      </c>
      <c r="W34" s="19">
        <v>72.86</v>
      </c>
      <c r="X34" s="19">
        <v>75.11</v>
      </c>
      <c r="Y34" s="19">
        <v>75.21</v>
      </c>
      <c r="Z34" s="19">
        <v>75.08</v>
      </c>
      <c r="AA34" s="19">
        <v>72.11</v>
      </c>
    </row>
    <row r="35" s="1" customFormat="1" ht="14.25" spans="1:28">
      <c r="A35" s="15"/>
      <c r="B35" s="16"/>
      <c r="C35" s="17" t="s">
        <v>38</v>
      </c>
      <c r="D35" s="19">
        <v>82.9365</v>
      </c>
      <c r="E35" s="19">
        <v>86.1274</v>
      </c>
      <c r="F35" s="19">
        <v>86.7785</v>
      </c>
      <c r="G35" s="19">
        <v>87.2432</v>
      </c>
      <c r="H35" s="19">
        <v>87.5618</v>
      </c>
      <c r="I35" s="19">
        <v>84.4906</v>
      </c>
      <c r="J35" s="19">
        <v>77.4189</v>
      </c>
      <c r="K35" s="19">
        <v>75.4494</v>
      </c>
      <c r="L35" s="19">
        <v>76.3224</v>
      </c>
      <c r="M35" s="19">
        <v>72.7126</v>
      </c>
      <c r="N35" s="19">
        <v>69.9882</v>
      </c>
      <c r="O35" s="19">
        <v>64.2981</v>
      </c>
      <c r="P35" s="19">
        <v>67.3464</v>
      </c>
      <c r="Q35" s="19">
        <v>70.3789</v>
      </c>
      <c r="R35" s="19">
        <v>70.9685</v>
      </c>
      <c r="S35" s="19">
        <v>73.5134</v>
      </c>
      <c r="T35" s="19">
        <v>75.9704</v>
      </c>
      <c r="U35" s="19">
        <v>74.9056</v>
      </c>
      <c r="V35" s="19">
        <v>73.7616</v>
      </c>
      <c r="W35" s="19">
        <v>72.4751</v>
      </c>
      <c r="X35" s="19">
        <v>75.4955</v>
      </c>
      <c r="Y35" s="19">
        <v>75.4248</v>
      </c>
      <c r="Z35" s="19">
        <v>74.0696</v>
      </c>
      <c r="AA35" s="19">
        <v>71.2345</v>
      </c>
      <c r="AB35" s="21">
        <f>MAX(K35:AA35)</f>
        <v>76.3224</v>
      </c>
    </row>
    <row r="36" s="1" customFormat="1" ht="14.25" hidden="1" spans="1:27">
      <c r="A36" s="15"/>
      <c r="B36" s="16"/>
      <c r="C36" s="17" t="s">
        <v>39</v>
      </c>
      <c r="D36" s="19">
        <f t="shared" ref="D36:AA36" si="10">D34-D35</f>
        <v>6.6435</v>
      </c>
      <c r="E36" s="19">
        <f t="shared" si="10"/>
        <v>3.0926</v>
      </c>
      <c r="F36" s="19">
        <f t="shared" si="10"/>
        <v>3.76150000000001</v>
      </c>
      <c r="G36" s="19">
        <f t="shared" si="10"/>
        <v>1.46679999999999</v>
      </c>
      <c r="H36" s="19">
        <f t="shared" si="10"/>
        <v>0.0981999999999914</v>
      </c>
      <c r="I36" s="19">
        <f t="shared" si="10"/>
        <v>1.0294</v>
      </c>
      <c r="J36" s="19">
        <f t="shared" si="10"/>
        <v>4.9111</v>
      </c>
      <c r="K36" s="19">
        <f t="shared" si="10"/>
        <v>4.4306</v>
      </c>
      <c r="L36" s="19">
        <f t="shared" si="10"/>
        <v>2.2976</v>
      </c>
      <c r="M36" s="19">
        <f t="shared" si="10"/>
        <v>2.9474</v>
      </c>
      <c r="N36" s="19">
        <f t="shared" si="10"/>
        <v>0.561799999999991</v>
      </c>
      <c r="O36" s="19">
        <f t="shared" si="10"/>
        <v>2.81189999999999</v>
      </c>
      <c r="P36" s="19">
        <f t="shared" si="10"/>
        <v>-1.9264</v>
      </c>
      <c r="Q36" s="19">
        <f t="shared" si="10"/>
        <v>0.141099999999994</v>
      </c>
      <c r="R36" s="19">
        <f t="shared" si="10"/>
        <v>3.36149999999999</v>
      </c>
      <c r="S36" s="19">
        <f t="shared" si="10"/>
        <v>4.5966</v>
      </c>
      <c r="T36" s="19">
        <f t="shared" si="10"/>
        <v>2.2496</v>
      </c>
      <c r="U36" s="19">
        <f t="shared" si="10"/>
        <v>3.2744</v>
      </c>
      <c r="V36" s="19">
        <f t="shared" si="10"/>
        <v>0.958399999999997</v>
      </c>
      <c r="W36" s="19">
        <f t="shared" si="10"/>
        <v>0.384900000000002</v>
      </c>
      <c r="X36" s="19">
        <f t="shared" si="10"/>
        <v>-0.385500000000008</v>
      </c>
      <c r="Y36" s="19">
        <f t="shared" si="10"/>
        <v>-0.214800000000011</v>
      </c>
      <c r="Z36" s="19">
        <f t="shared" si="10"/>
        <v>1.0104</v>
      </c>
      <c r="AA36" s="19">
        <f t="shared" si="10"/>
        <v>0.875500000000002</v>
      </c>
    </row>
    <row r="37" s="1" customFormat="1" ht="20" hidden="1" customHeight="1" spans="1:27">
      <c r="A37" s="15">
        <v>46034</v>
      </c>
      <c r="B37" s="16">
        <v>4303121811816</v>
      </c>
      <c r="C37" s="17" t="s">
        <v>37</v>
      </c>
      <c r="D37" s="20">
        <v>71.11</v>
      </c>
      <c r="E37" s="20">
        <v>73.85</v>
      </c>
      <c r="F37" s="20">
        <v>73.66</v>
      </c>
      <c r="G37" s="20">
        <v>74.05</v>
      </c>
      <c r="H37" s="20">
        <v>74.22</v>
      </c>
      <c r="I37" s="20">
        <v>74.31</v>
      </c>
      <c r="J37" s="20">
        <v>73.66</v>
      </c>
      <c r="K37" s="20">
        <v>81.77</v>
      </c>
      <c r="L37" s="20">
        <v>92.86</v>
      </c>
      <c r="M37" s="20">
        <v>91.58</v>
      </c>
      <c r="N37" s="20">
        <v>89.55</v>
      </c>
      <c r="O37" s="20">
        <v>82.1832</v>
      </c>
      <c r="P37" s="20">
        <v>82.66</v>
      </c>
      <c r="Q37" s="20">
        <v>87.58</v>
      </c>
      <c r="R37" s="20">
        <v>91.55</v>
      </c>
      <c r="S37" s="20">
        <v>92.76</v>
      </c>
      <c r="T37" s="20">
        <v>94.33</v>
      </c>
      <c r="U37" s="20">
        <v>94.25</v>
      </c>
      <c r="V37" s="20">
        <v>86.77</v>
      </c>
      <c r="W37" s="20">
        <v>86.58</v>
      </c>
      <c r="X37" s="20">
        <v>89.88</v>
      </c>
      <c r="Y37" s="20">
        <v>89.11</v>
      </c>
      <c r="Z37" s="20">
        <v>89.58</v>
      </c>
      <c r="AA37" s="20">
        <v>85.33</v>
      </c>
    </row>
    <row r="38" s="1" customFormat="1" ht="14.25" spans="1:28">
      <c r="A38" s="15"/>
      <c r="B38" s="16"/>
      <c r="C38" s="17" t="s">
        <v>38</v>
      </c>
      <c r="D38" s="20">
        <v>73.0318</v>
      </c>
      <c r="E38" s="20">
        <v>75.4213</v>
      </c>
      <c r="F38" s="20">
        <v>74.5202</v>
      </c>
      <c r="G38" s="20">
        <v>76.0012</v>
      </c>
      <c r="H38" s="20">
        <v>75.2118</v>
      </c>
      <c r="I38" s="20">
        <v>75.5613</v>
      </c>
      <c r="J38" s="20">
        <v>77.4224</v>
      </c>
      <c r="K38" s="20">
        <v>80.3155</v>
      </c>
      <c r="L38" s="20">
        <v>98.3145</v>
      </c>
      <c r="M38" s="20">
        <v>96.4253</v>
      </c>
      <c r="N38" s="20">
        <v>95.0853</v>
      </c>
      <c r="O38" s="20">
        <v>91.5781</v>
      </c>
      <c r="P38" s="20">
        <v>90.6189</v>
      </c>
      <c r="Q38" s="20">
        <v>95.304</v>
      </c>
      <c r="R38" s="20">
        <v>93.3838</v>
      </c>
      <c r="S38" s="20">
        <v>93.5669</v>
      </c>
      <c r="T38" s="20">
        <v>96.7296</v>
      </c>
      <c r="U38" s="20">
        <v>96.0696</v>
      </c>
      <c r="V38" s="20">
        <v>92.2486</v>
      </c>
      <c r="W38" s="20">
        <v>88.0686</v>
      </c>
      <c r="X38" s="20">
        <v>92.1818</v>
      </c>
      <c r="Y38" s="20">
        <v>90.083</v>
      </c>
      <c r="Z38" s="20">
        <v>89.54</v>
      </c>
      <c r="AA38" s="20">
        <v>85.9461</v>
      </c>
      <c r="AB38" s="21">
        <f>MAX(K38:AA38)</f>
        <v>98.3145</v>
      </c>
    </row>
    <row r="39" s="1" customFormat="1" ht="14.25" hidden="1" spans="1:27">
      <c r="A39" s="15"/>
      <c r="B39" s="16"/>
      <c r="C39" s="17" t="s">
        <v>39</v>
      </c>
      <c r="D39" s="20">
        <f t="shared" ref="D39:AA39" si="11">D37-D38</f>
        <v>-1.9218</v>
      </c>
      <c r="E39" s="20">
        <f t="shared" si="11"/>
        <v>-1.57130000000001</v>
      </c>
      <c r="F39" s="20">
        <f t="shared" si="11"/>
        <v>-0.860200000000006</v>
      </c>
      <c r="G39" s="20">
        <f t="shared" si="11"/>
        <v>-1.9512</v>
      </c>
      <c r="H39" s="20">
        <f t="shared" si="11"/>
        <v>-0.991799999999998</v>
      </c>
      <c r="I39" s="20">
        <f t="shared" si="11"/>
        <v>-1.2513</v>
      </c>
      <c r="J39" s="20">
        <f t="shared" si="11"/>
        <v>-3.7624</v>
      </c>
      <c r="K39" s="20">
        <f t="shared" si="11"/>
        <v>1.4545</v>
      </c>
      <c r="L39" s="20">
        <f t="shared" si="11"/>
        <v>-5.4545</v>
      </c>
      <c r="M39" s="20">
        <f t="shared" si="11"/>
        <v>-4.84529999999999</v>
      </c>
      <c r="N39" s="20">
        <f t="shared" si="11"/>
        <v>-5.53530000000001</v>
      </c>
      <c r="O39" s="20">
        <f t="shared" si="11"/>
        <v>-9.39490000000001</v>
      </c>
      <c r="P39" s="20">
        <f t="shared" si="11"/>
        <v>-7.9589</v>
      </c>
      <c r="Q39" s="20">
        <f t="shared" si="11"/>
        <v>-7.724</v>
      </c>
      <c r="R39" s="20">
        <f t="shared" si="11"/>
        <v>-1.8338</v>
      </c>
      <c r="S39" s="20">
        <f t="shared" si="11"/>
        <v>-0.806899999999999</v>
      </c>
      <c r="T39" s="20">
        <f t="shared" si="11"/>
        <v>-2.39960000000001</v>
      </c>
      <c r="U39" s="20">
        <f t="shared" si="11"/>
        <v>-1.81959999999999</v>
      </c>
      <c r="V39" s="20">
        <f t="shared" si="11"/>
        <v>-5.4786</v>
      </c>
      <c r="W39" s="20">
        <f t="shared" si="11"/>
        <v>-1.48860000000001</v>
      </c>
      <c r="X39" s="20">
        <f t="shared" si="11"/>
        <v>-2.3018</v>
      </c>
      <c r="Y39" s="20">
        <f t="shared" si="11"/>
        <v>-0.972999999999999</v>
      </c>
      <c r="Z39" s="20">
        <f t="shared" si="11"/>
        <v>0.039999999999992</v>
      </c>
      <c r="AA39" s="20">
        <f t="shared" si="11"/>
        <v>-0.616100000000003</v>
      </c>
    </row>
    <row r="40" s="1" customFormat="1" ht="20" hidden="1" customHeight="1" spans="1:27">
      <c r="A40" s="15">
        <v>46035</v>
      </c>
      <c r="B40" s="16">
        <v>4303121811816</v>
      </c>
      <c r="C40" s="17" t="s">
        <v>37</v>
      </c>
      <c r="D40" s="19">
        <v>89.66</v>
      </c>
      <c r="E40" s="19">
        <v>92.66</v>
      </c>
      <c r="F40" s="19">
        <v>93.41</v>
      </c>
      <c r="G40" s="19">
        <v>93.56</v>
      </c>
      <c r="H40" s="19">
        <v>93.22</v>
      </c>
      <c r="I40" s="19">
        <v>91.62</v>
      </c>
      <c r="J40" s="19">
        <v>90.55</v>
      </c>
      <c r="K40" s="19">
        <v>91.68</v>
      </c>
      <c r="L40" s="19">
        <v>94.33</v>
      </c>
      <c r="M40" s="19">
        <v>94.68</v>
      </c>
      <c r="N40" s="19">
        <v>92.36</v>
      </c>
      <c r="O40" s="19">
        <v>92.31</v>
      </c>
      <c r="P40" s="19">
        <v>91.33</v>
      </c>
      <c r="Q40" s="19">
        <v>92.33</v>
      </c>
      <c r="R40" s="19">
        <v>93.58</v>
      </c>
      <c r="S40" s="19">
        <v>95.35</v>
      </c>
      <c r="T40" s="19">
        <v>96.25</v>
      </c>
      <c r="U40" s="19">
        <v>96.66</v>
      </c>
      <c r="V40" s="19">
        <v>87.22</v>
      </c>
      <c r="W40" s="19">
        <v>87.33</v>
      </c>
      <c r="X40" s="19">
        <v>89.76</v>
      </c>
      <c r="Y40" s="19">
        <v>89.11</v>
      </c>
      <c r="Z40" s="19">
        <v>89.58</v>
      </c>
      <c r="AA40" s="19">
        <v>85.77</v>
      </c>
    </row>
    <row r="41" s="1" customFormat="1" ht="14.25" spans="1:28">
      <c r="A41" s="15"/>
      <c r="B41" s="16"/>
      <c r="C41" s="17" t="s">
        <v>38</v>
      </c>
      <c r="D41" s="19">
        <v>86.9088</v>
      </c>
      <c r="E41" s="19">
        <v>90.1136</v>
      </c>
      <c r="F41" s="19">
        <v>90.867</v>
      </c>
      <c r="G41" s="19">
        <v>90.0469</v>
      </c>
      <c r="H41" s="19">
        <v>89.5741</v>
      </c>
      <c r="I41" s="19">
        <v>88.4224</v>
      </c>
      <c r="J41" s="19">
        <v>85.624</v>
      </c>
      <c r="K41" s="19">
        <v>88.8272</v>
      </c>
      <c r="L41" s="19">
        <v>96.0712</v>
      </c>
      <c r="M41" s="19">
        <v>92.1166</v>
      </c>
      <c r="N41" s="19">
        <v>88.9838</v>
      </c>
      <c r="O41" s="19">
        <v>82.3962</v>
      </c>
      <c r="P41" s="19">
        <v>79.3197</v>
      </c>
      <c r="Q41" s="19">
        <v>87.1869</v>
      </c>
      <c r="R41" s="19">
        <v>89.4522</v>
      </c>
      <c r="S41" s="19">
        <v>92.3032</v>
      </c>
      <c r="T41" s="19">
        <v>94.1706</v>
      </c>
      <c r="U41" s="19">
        <v>94.8815</v>
      </c>
      <c r="V41" s="19">
        <v>89.7899</v>
      </c>
      <c r="W41" s="19">
        <v>87.5706</v>
      </c>
      <c r="X41" s="19">
        <v>91.1235</v>
      </c>
      <c r="Y41" s="19">
        <v>89.5453</v>
      </c>
      <c r="Z41" s="19">
        <v>89.489</v>
      </c>
      <c r="AA41" s="19">
        <v>86.247</v>
      </c>
      <c r="AB41" s="21">
        <f>MAX(K41:AA41)</f>
        <v>96.0712</v>
      </c>
    </row>
    <row r="42" s="1" customFormat="1" ht="14.25" hidden="1" spans="1:27">
      <c r="A42" s="15"/>
      <c r="B42" s="16"/>
      <c r="C42" s="17" t="s">
        <v>39</v>
      </c>
      <c r="D42" s="19">
        <f t="shared" ref="D42:AA42" si="12">D40-D41</f>
        <v>2.7512</v>
      </c>
      <c r="E42" s="19">
        <f t="shared" si="12"/>
        <v>2.54639999999999</v>
      </c>
      <c r="F42" s="19">
        <f t="shared" si="12"/>
        <v>2.54299999999999</v>
      </c>
      <c r="G42" s="19">
        <f t="shared" si="12"/>
        <v>3.51310000000001</v>
      </c>
      <c r="H42" s="19">
        <f t="shared" si="12"/>
        <v>3.6459</v>
      </c>
      <c r="I42" s="19">
        <f t="shared" si="12"/>
        <v>3.19760000000001</v>
      </c>
      <c r="J42" s="19">
        <f t="shared" si="12"/>
        <v>4.926</v>
      </c>
      <c r="K42" s="19">
        <f t="shared" si="12"/>
        <v>2.8528</v>
      </c>
      <c r="L42" s="19">
        <f t="shared" si="12"/>
        <v>-1.74120000000001</v>
      </c>
      <c r="M42" s="19">
        <f t="shared" si="12"/>
        <v>2.5634</v>
      </c>
      <c r="N42" s="19">
        <f t="shared" si="12"/>
        <v>3.3762</v>
      </c>
      <c r="O42" s="19">
        <f t="shared" si="12"/>
        <v>9.91380000000001</v>
      </c>
      <c r="P42" s="19">
        <f t="shared" si="12"/>
        <v>12.0103</v>
      </c>
      <c r="Q42" s="19">
        <f t="shared" si="12"/>
        <v>5.1431</v>
      </c>
      <c r="R42" s="19">
        <f t="shared" si="12"/>
        <v>4.12779999999999</v>
      </c>
      <c r="S42" s="19">
        <f t="shared" si="12"/>
        <v>3.04679999999999</v>
      </c>
      <c r="T42" s="19">
        <f t="shared" si="12"/>
        <v>2.07940000000001</v>
      </c>
      <c r="U42" s="19">
        <f t="shared" si="12"/>
        <v>1.77849999999999</v>
      </c>
      <c r="V42" s="19">
        <f t="shared" si="12"/>
        <v>-2.5699</v>
      </c>
      <c r="W42" s="19">
        <f t="shared" si="12"/>
        <v>-0.240600000000001</v>
      </c>
      <c r="X42" s="19">
        <f t="shared" si="12"/>
        <v>-1.3635</v>
      </c>
      <c r="Y42" s="19">
        <f t="shared" si="12"/>
        <v>-0.435299999999998</v>
      </c>
      <c r="Z42" s="19">
        <f t="shared" si="12"/>
        <v>0.090999999999994</v>
      </c>
      <c r="AA42" s="19">
        <f t="shared" si="12"/>
        <v>-0.477000000000004</v>
      </c>
    </row>
    <row r="43" s="1" customFormat="1" ht="20" hidden="1" customHeight="1" spans="1:27">
      <c r="A43" s="15">
        <v>46036</v>
      </c>
      <c r="B43" s="16">
        <v>4303121811816</v>
      </c>
      <c r="C43" s="17" t="s">
        <v>37</v>
      </c>
      <c r="D43" s="20">
        <v>89.71</v>
      </c>
      <c r="E43" s="20">
        <v>92.75</v>
      </c>
      <c r="F43" s="20">
        <v>93.55</v>
      </c>
      <c r="G43" s="20">
        <v>93.76</v>
      </c>
      <c r="H43" s="20">
        <v>93.31</v>
      </c>
      <c r="I43" s="20">
        <v>91.58</v>
      </c>
      <c r="J43" s="20">
        <v>90.35</v>
      </c>
      <c r="K43" s="20">
        <v>91.71</v>
      </c>
      <c r="L43" s="20">
        <v>94.55</v>
      </c>
      <c r="M43" s="20">
        <v>94.22</v>
      </c>
      <c r="N43" s="20">
        <v>92.33</v>
      </c>
      <c r="O43" s="20">
        <v>92.54</v>
      </c>
      <c r="P43" s="20">
        <v>91.54</v>
      </c>
      <c r="Q43" s="20">
        <v>92.35</v>
      </c>
      <c r="R43" s="20">
        <v>93.61</v>
      </c>
      <c r="S43" s="20">
        <v>95.26</v>
      </c>
      <c r="T43" s="20">
        <v>96.33</v>
      </c>
      <c r="U43" s="20">
        <v>96.58</v>
      </c>
      <c r="V43" s="20">
        <v>87.33</v>
      </c>
      <c r="W43" s="20">
        <v>87.62</v>
      </c>
      <c r="X43" s="20">
        <v>89.55</v>
      </c>
      <c r="Y43" s="20">
        <v>89.24</v>
      </c>
      <c r="Z43" s="20">
        <v>89.66</v>
      </c>
      <c r="AA43" s="20">
        <v>86.35</v>
      </c>
    </row>
    <row r="44" s="1" customFormat="1" ht="14.25" spans="1:28">
      <c r="A44" s="15"/>
      <c r="B44" s="16"/>
      <c r="C44" s="17" t="s">
        <v>38</v>
      </c>
      <c r="D44" s="20">
        <v>85.5026</v>
      </c>
      <c r="E44" s="20">
        <v>91.5182</v>
      </c>
      <c r="F44" s="20">
        <v>90.9973</v>
      </c>
      <c r="G44" s="20">
        <v>90.5538</v>
      </c>
      <c r="H44" s="20">
        <v>90.4675</v>
      </c>
      <c r="I44" s="20">
        <v>90.9674</v>
      </c>
      <c r="J44" s="20">
        <v>87.523</v>
      </c>
      <c r="K44" s="20">
        <v>90.5379</v>
      </c>
      <c r="L44" s="20">
        <v>95.0822</v>
      </c>
      <c r="M44" s="20">
        <v>92.2754</v>
      </c>
      <c r="N44" s="20">
        <v>89.8357</v>
      </c>
      <c r="O44" s="20">
        <v>81.965</v>
      </c>
      <c r="P44" s="20">
        <v>80.1099</v>
      </c>
      <c r="Q44" s="20">
        <v>87.6691</v>
      </c>
      <c r="R44" s="20">
        <v>91.5693</v>
      </c>
      <c r="S44" s="20">
        <v>93.4824</v>
      </c>
      <c r="T44" s="20">
        <v>95.0206</v>
      </c>
      <c r="U44" s="20">
        <v>95.6947</v>
      </c>
      <c r="V44" s="20">
        <v>90.8811</v>
      </c>
      <c r="W44" s="20">
        <v>86.5814</v>
      </c>
      <c r="X44" s="20">
        <v>90.6646</v>
      </c>
      <c r="Y44" s="20">
        <v>90.6523</v>
      </c>
      <c r="Z44" s="20">
        <v>90.647</v>
      </c>
      <c r="AA44" s="20">
        <v>86.9809</v>
      </c>
      <c r="AB44" s="21">
        <f>MAX(K44:AA44)</f>
        <v>95.6947</v>
      </c>
    </row>
    <row r="45" s="1" customFormat="1" ht="14.25" hidden="1" spans="1:27">
      <c r="A45" s="15"/>
      <c r="B45" s="16"/>
      <c r="C45" s="17" t="s">
        <v>39</v>
      </c>
      <c r="D45" s="20">
        <f t="shared" ref="D45:AA45" si="13">D43-D44</f>
        <v>4.20739999999999</v>
      </c>
      <c r="E45" s="20">
        <f t="shared" si="13"/>
        <v>1.23180000000001</v>
      </c>
      <c r="F45" s="20">
        <f t="shared" si="13"/>
        <v>2.5527</v>
      </c>
      <c r="G45" s="20">
        <f t="shared" si="13"/>
        <v>3.20620000000001</v>
      </c>
      <c r="H45" s="20">
        <f t="shared" si="13"/>
        <v>2.8425</v>
      </c>
      <c r="I45" s="20">
        <f t="shared" si="13"/>
        <v>0.6126</v>
      </c>
      <c r="J45" s="20">
        <f t="shared" si="13"/>
        <v>2.827</v>
      </c>
      <c r="K45" s="20">
        <f t="shared" si="13"/>
        <v>1.1721</v>
      </c>
      <c r="L45" s="20">
        <f t="shared" si="13"/>
        <v>-0.532200000000003</v>
      </c>
      <c r="M45" s="20">
        <f t="shared" si="13"/>
        <v>1.94459999999999</v>
      </c>
      <c r="N45" s="20">
        <f t="shared" si="13"/>
        <v>2.4943</v>
      </c>
      <c r="O45" s="20">
        <f t="shared" si="13"/>
        <v>10.575</v>
      </c>
      <c r="P45" s="20">
        <f t="shared" si="13"/>
        <v>11.4301</v>
      </c>
      <c r="Q45" s="20">
        <f t="shared" si="13"/>
        <v>4.68089999999999</v>
      </c>
      <c r="R45" s="20">
        <f t="shared" si="13"/>
        <v>2.0407</v>
      </c>
      <c r="S45" s="20">
        <f t="shared" si="13"/>
        <v>1.77760000000001</v>
      </c>
      <c r="T45" s="20">
        <f t="shared" si="13"/>
        <v>1.3094</v>
      </c>
      <c r="U45" s="20">
        <f t="shared" si="13"/>
        <v>0.885300000000001</v>
      </c>
      <c r="V45" s="20">
        <f t="shared" si="13"/>
        <v>-3.55110000000001</v>
      </c>
      <c r="W45" s="20">
        <f t="shared" si="13"/>
        <v>1.0386</v>
      </c>
      <c r="X45" s="20">
        <f t="shared" si="13"/>
        <v>-1.1146</v>
      </c>
      <c r="Y45" s="20">
        <f t="shared" si="13"/>
        <v>-1.4123</v>
      </c>
      <c r="Z45" s="20">
        <f t="shared" si="13"/>
        <v>-0.987000000000009</v>
      </c>
      <c r="AA45" s="20">
        <f t="shared" si="13"/>
        <v>-0.630900000000011</v>
      </c>
    </row>
    <row r="46" s="1" customFormat="1" ht="20" hidden="1" customHeight="1" spans="1:27">
      <c r="A46" s="15">
        <v>46037</v>
      </c>
      <c r="B46" s="16">
        <v>4303121811816</v>
      </c>
      <c r="C46" s="17" t="s">
        <v>37</v>
      </c>
      <c r="D46" s="19">
        <v>86.77</v>
      </c>
      <c r="E46" s="19">
        <v>90.18</v>
      </c>
      <c r="F46" s="19">
        <v>90.33</v>
      </c>
      <c r="G46" s="19">
        <v>89.85</v>
      </c>
      <c r="H46" s="19">
        <v>88.89</v>
      </c>
      <c r="I46" s="19">
        <v>89.18</v>
      </c>
      <c r="J46" s="19">
        <v>84.52</v>
      </c>
      <c r="K46" s="19">
        <v>88.11</v>
      </c>
      <c r="L46" s="19">
        <v>95.21</v>
      </c>
      <c r="M46" s="19">
        <v>93.28</v>
      </c>
      <c r="N46" s="19">
        <v>87.12</v>
      </c>
      <c r="O46" s="19">
        <v>83.58</v>
      </c>
      <c r="P46" s="19">
        <v>81.22</v>
      </c>
      <c r="Q46" s="19">
        <v>88.33</v>
      </c>
      <c r="R46" s="19">
        <v>92.51</v>
      </c>
      <c r="S46" s="19">
        <v>95.54</v>
      </c>
      <c r="T46" s="19">
        <v>96.61</v>
      </c>
      <c r="U46" s="19">
        <v>94.44</v>
      </c>
      <c r="V46" s="19">
        <v>89.25</v>
      </c>
      <c r="W46" s="19">
        <v>88.11</v>
      </c>
      <c r="X46" s="19">
        <v>91.45</v>
      </c>
      <c r="Y46" s="19">
        <v>89.66</v>
      </c>
      <c r="Z46" s="19">
        <v>89.52</v>
      </c>
      <c r="AA46" s="19">
        <v>86.11</v>
      </c>
    </row>
    <row r="47" s="1" customFormat="1" ht="14.25" spans="1:28">
      <c r="A47" s="15"/>
      <c r="B47" s="16"/>
      <c r="C47" s="17" t="s">
        <v>38</v>
      </c>
      <c r="D47" s="19">
        <v>85.4568</v>
      </c>
      <c r="E47" s="19">
        <v>91.5006</v>
      </c>
      <c r="F47" s="19">
        <v>90.9554</v>
      </c>
      <c r="G47" s="19">
        <v>90.8107</v>
      </c>
      <c r="H47" s="19">
        <v>91.7981</v>
      </c>
      <c r="I47" s="19">
        <v>91.5446</v>
      </c>
      <c r="J47" s="19">
        <v>89.3024</v>
      </c>
      <c r="K47" s="19">
        <v>88.7355</v>
      </c>
      <c r="L47" s="19">
        <v>94.6715</v>
      </c>
      <c r="M47" s="19">
        <v>91.967</v>
      </c>
      <c r="N47" s="19">
        <v>86.717</v>
      </c>
      <c r="O47" s="19">
        <v>79.0152</v>
      </c>
      <c r="P47" s="19">
        <v>80.8808</v>
      </c>
      <c r="Q47" s="19">
        <v>87.9138</v>
      </c>
      <c r="R47" s="19">
        <v>92.7203</v>
      </c>
      <c r="S47" s="19">
        <v>95.2213</v>
      </c>
      <c r="T47" s="19">
        <v>98.069</v>
      </c>
      <c r="U47" s="19">
        <v>95.4835</v>
      </c>
      <c r="V47" s="19">
        <v>89.4766</v>
      </c>
      <c r="W47" s="19">
        <v>87.1235</v>
      </c>
      <c r="X47" s="19">
        <v>91.6186</v>
      </c>
      <c r="Y47" s="19">
        <v>91.3329</v>
      </c>
      <c r="Z47" s="19">
        <v>91.1134</v>
      </c>
      <c r="AA47" s="19">
        <v>86.1115</v>
      </c>
      <c r="AB47" s="21">
        <f>MAX(K47:AA47)</f>
        <v>98.069</v>
      </c>
    </row>
    <row r="48" s="1" customFormat="1" ht="14.25" hidden="1" spans="1:27">
      <c r="A48" s="15"/>
      <c r="B48" s="16"/>
      <c r="C48" s="17" t="s">
        <v>39</v>
      </c>
      <c r="D48" s="19">
        <f t="shared" ref="D48:AA48" si="14">D46-D47</f>
        <v>1.31319999999999</v>
      </c>
      <c r="E48" s="19">
        <f t="shared" si="14"/>
        <v>-1.3206</v>
      </c>
      <c r="F48" s="19">
        <f t="shared" si="14"/>
        <v>-0.625399999999999</v>
      </c>
      <c r="G48" s="19">
        <f t="shared" si="14"/>
        <v>-0.960700000000003</v>
      </c>
      <c r="H48" s="19">
        <f t="shared" si="14"/>
        <v>-2.9081</v>
      </c>
      <c r="I48" s="19">
        <f t="shared" si="14"/>
        <v>-2.3646</v>
      </c>
      <c r="J48" s="19">
        <f t="shared" si="14"/>
        <v>-4.78240000000001</v>
      </c>
      <c r="K48" s="19">
        <f t="shared" si="14"/>
        <v>-0.625500000000002</v>
      </c>
      <c r="L48" s="19">
        <f t="shared" si="14"/>
        <v>0.538499999999999</v>
      </c>
      <c r="M48" s="19">
        <f t="shared" si="14"/>
        <v>1.313</v>
      </c>
      <c r="N48" s="19">
        <f t="shared" si="14"/>
        <v>0.403000000000006</v>
      </c>
      <c r="O48" s="19">
        <f t="shared" si="14"/>
        <v>4.56480000000001</v>
      </c>
      <c r="P48" s="19">
        <f t="shared" si="14"/>
        <v>0.339200000000005</v>
      </c>
      <c r="Q48" s="19">
        <f t="shared" si="14"/>
        <v>0.416200000000003</v>
      </c>
      <c r="R48" s="19">
        <f t="shared" si="14"/>
        <v>-0.210299999999989</v>
      </c>
      <c r="S48" s="19">
        <f t="shared" si="14"/>
        <v>0.318700000000007</v>
      </c>
      <c r="T48" s="19">
        <f t="shared" si="14"/>
        <v>-1.459</v>
      </c>
      <c r="U48" s="19">
        <f t="shared" si="14"/>
        <v>-1.04350000000001</v>
      </c>
      <c r="V48" s="19">
        <f t="shared" si="14"/>
        <v>-0.226600000000005</v>
      </c>
      <c r="W48" s="19">
        <f t="shared" si="14"/>
        <v>0.986499999999992</v>
      </c>
      <c r="X48" s="19">
        <f t="shared" si="14"/>
        <v>-0.168599999999998</v>
      </c>
      <c r="Y48" s="19">
        <f t="shared" si="14"/>
        <v>-1.6729</v>
      </c>
      <c r="Z48" s="19">
        <f t="shared" si="14"/>
        <v>-1.5934</v>
      </c>
      <c r="AA48" s="19">
        <f t="shared" si="14"/>
        <v>-0.00150000000000716</v>
      </c>
    </row>
    <row r="49" s="1" customFormat="1" ht="20" hidden="1" customHeight="1" spans="1:27">
      <c r="A49" s="15">
        <v>46038</v>
      </c>
      <c r="B49" s="16">
        <v>4303121811816</v>
      </c>
      <c r="C49" s="17" t="s">
        <v>37</v>
      </c>
      <c r="D49" s="20">
        <v>86.66</v>
      </c>
      <c r="E49" s="20">
        <v>90.11</v>
      </c>
      <c r="F49" s="20">
        <v>90.12</v>
      </c>
      <c r="G49" s="20">
        <v>89.58</v>
      </c>
      <c r="H49" s="20">
        <v>88.66</v>
      </c>
      <c r="I49" s="20">
        <v>89.22</v>
      </c>
      <c r="J49" s="20">
        <v>84.34</v>
      </c>
      <c r="K49" s="20">
        <v>88.21</v>
      </c>
      <c r="L49" s="20">
        <v>95.18</v>
      </c>
      <c r="M49" s="20">
        <v>93.22</v>
      </c>
      <c r="N49" s="20">
        <v>87.18</v>
      </c>
      <c r="O49" s="20">
        <v>83.48</v>
      </c>
      <c r="P49" s="20">
        <v>81.33</v>
      </c>
      <c r="Q49" s="20">
        <v>88.41</v>
      </c>
      <c r="R49" s="20">
        <v>92.55</v>
      </c>
      <c r="S49" s="20">
        <v>95.61</v>
      </c>
      <c r="T49" s="20">
        <v>96.58</v>
      </c>
      <c r="U49" s="20">
        <v>94.38</v>
      </c>
      <c r="V49" s="20">
        <v>89.31</v>
      </c>
      <c r="W49" s="20">
        <v>88.21</v>
      </c>
      <c r="X49" s="20">
        <v>91.66</v>
      </c>
      <c r="Y49" s="20">
        <v>89.58</v>
      </c>
      <c r="Z49" s="20">
        <v>89.66</v>
      </c>
      <c r="AA49" s="20">
        <v>86.23</v>
      </c>
    </row>
    <row r="50" s="1" customFormat="1" ht="14.25" spans="1:28">
      <c r="A50" s="15"/>
      <c r="B50" s="16"/>
      <c r="C50" s="17" t="s">
        <v>38</v>
      </c>
      <c r="D50" s="20">
        <v>85.8264</v>
      </c>
      <c r="E50" s="20">
        <v>89.5206</v>
      </c>
      <c r="F50" s="20">
        <v>90.9128</v>
      </c>
      <c r="G50" s="20">
        <v>90.5537</v>
      </c>
      <c r="H50" s="20">
        <v>90.6048</v>
      </c>
      <c r="I50" s="20">
        <v>89.9483</v>
      </c>
      <c r="J50" s="20">
        <v>87.8645</v>
      </c>
      <c r="K50" s="20">
        <v>87.1654</v>
      </c>
      <c r="L50" s="20">
        <v>97.5374</v>
      </c>
      <c r="M50" s="20">
        <v>95.9939</v>
      </c>
      <c r="N50" s="20">
        <v>95.8584</v>
      </c>
      <c r="O50" s="20">
        <v>92.9122</v>
      </c>
      <c r="P50" s="20">
        <v>90.9304</v>
      </c>
      <c r="Q50" s="20">
        <v>97.0869</v>
      </c>
      <c r="R50" s="20">
        <v>98.7219</v>
      </c>
      <c r="S50" s="20">
        <v>96.8405</v>
      </c>
      <c r="T50" s="20">
        <v>97.717</v>
      </c>
      <c r="U50" s="20">
        <v>97.4002</v>
      </c>
      <c r="V50" s="20">
        <v>92.6658</v>
      </c>
      <c r="W50" s="20">
        <v>89.5242</v>
      </c>
      <c r="X50" s="20">
        <v>92.9169</v>
      </c>
      <c r="Y50" s="20">
        <v>93.1533</v>
      </c>
      <c r="Z50" s="20">
        <v>92.0445</v>
      </c>
      <c r="AA50" s="20">
        <v>87.5864</v>
      </c>
      <c r="AB50" s="21">
        <f>MAX(K50:AA50)</f>
        <v>98.7219</v>
      </c>
    </row>
    <row r="51" s="1" customFormat="1" ht="14.25" hidden="1" spans="1:27">
      <c r="A51" s="15"/>
      <c r="B51" s="16"/>
      <c r="C51" s="17" t="s">
        <v>39</v>
      </c>
      <c r="D51" s="20">
        <f t="shared" ref="D51:AA51" si="15">D49-D50</f>
        <v>0.83359999999999</v>
      </c>
      <c r="E51" s="20">
        <f t="shared" si="15"/>
        <v>0.589399999999998</v>
      </c>
      <c r="F51" s="20">
        <f t="shared" si="15"/>
        <v>-0.7928</v>
      </c>
      <c r="G51" s="20">
        <f t="shared" si="15"/>
        <v>-0.973700000000008</v>
      </c>
      <c r="H51" s="20">
        <f t="shared" si="15"/>
        <v>-1.9448</v>
      </c>
      <c r="I51" s="20">
        <f t="shared" si="15"/>
        <v>-0.728300000000004</v>
      </c>
      <c r="J51" s="20">
        <f t="shared" si="15"/>
        <v>-3.5245</v>
      </c>
      <c r="K51" s="20">
        <f t="shared" si="15"/>
        <v>1.04459999999999</v>
      </c>
      <c r="L51" s="20">
        <f t="shared" si="15"/>
        <v>-2.3574</v>
      </c>
      <c r="M51" s="20">
        <f t="shared" si="15"/>
        <v>-2.7739</v>
      </c>
      <c r="N51" s="20">
        <f t="shared" si="15"/>
        <v>-8.6784</v>
      </c>
      <c r="O51" s="20">
        <f t="shared" si="15"/>
        <v>-9.43219999999999</v>
      </c>
      <c r="P51" s="20">
        <f t="shared" si="15"/>
        <v>-9.60040000000001</v>
      </c>
      <c r="Q51" s="20">
        <f t="shared" si="15"/>
        <v>-8.6769</v>
      </c>
      <c r="R51" s="20">
        <f t="shared" si="15"/>
        <v>-6.17190000000001</v>
      </c>
      <c r="S51" s="20">
        <f t="shared" si="15"/>
        <v>-1.23050000000001</v>
      </c>
      <c r="T51" s="20">
        <f t="shared" si="15"/>
        <v>-1.137</v>
      </c>
      <c r="U51" s="20">
        <f t="shared" si="15"/>
        <v>-3.0202</v>
      </c>
      <c r="V51" s="20">
        <f t="shared" si="15"/>
        <v>-3.3558</v>
      </c>
      <c r="W51" s="20">
        <f t="shared" si="15"/>
        <v>-1.3142</v>
      </c>
      <c r="X51" s="20">
        <f t="shared" si="15"/>
        <v>-1.2569</v>
      </c>
      <c r="Y51" s="20">
        <f t="shared" si="15"/>
        <v>-3.5733</v>
      </c>
      <c r="Z51" s="20">
        <f t="shared" si="15"/>
        <v>-2.3845</v>
      </c>
      <c r="AA51" s="20">
        <f t="shared" si="15"/>
        <v>-1.35639999999999</v>
      </c>
    </row>
    <row r="52" s="1" customFormat="1" ht="20" hidden="1" customHeight="1" spans="1:27">
      <c r="A52" s="15">
        <v>46039</v>
      </c>
      <c r="B52" s="16">
        <v>4303121811816</v>
      </c>
      <c r="C52" s="17" t="s">
        <v>37</v>
      </c>
      <c r="D52" s="19">
        <v>86.58</v>
      </c>
      <c r="E52" s="19">
        <v>90.21</v>
      </c>
      <c r="F52" s="19">
        <v>90.11</v>
      </c>
      <c r="G52" s="19">
        <v>89.66</v>
      </c>
      <c r="H52" s="19">
        <v>88.58</v>
      </c>
      <c r="I52" s="19">
        <v>89.31</v>
      </c>
      <c r="J52" s="19">
        <v>84.52</v>
      </c>
      <c r="K52" s="19">
        <v>88.55</v>
      </c>
      <c r="L52" s="19">
        <v>95.33</v>
      </c>
      <c r="M52" s="19">
        <v>94.11</v>
      </c>
      <c r="N52" s="19">
        <v>92.52</v>
      </c>
      <c r="O52" s="19">
        <v>91.22</v>
      </c>
      <c r="P52" s="19">
        <v>91.35</v>
      </c>
      <c r="Q52" s="19">
        <v>93.58</v>
      </c>
      <c r="R52" s="19">
        <v>94.11</v>
      </c>
      <c r="S52" s="19">
        <v>95.66</v>
      </c>
      <c r="T52" s="19">
        <v>96.88</v>
      </c>
      <c r="U52" s="19">
        <v>96.76</v>
      </c>
      <c r="V52" s="19">
        <v>89.58</v>
      </c>
      <c r="W52" s="19">
        <v>88.52</v>
      </c>
      <c r="X52" s="19">
        <v>91.71</v>
      </c>
      <c r="Y52" s="19">
        <v>89.55</v>
      </c>
      <c r="Z52" s="19">
        <v>89.71</v>
      </c>
      <c r="AA52" s="19">
        <v>86.31</v>
      </c>
    </row>
    <row r="53" s="1" customFormat="1" ht="14.25" spans="1:28">
      <c r="A53" s="15"/>
      <c r="B53" s="16"/>
      <c r="C53" s="17" t="s">
        <v>38</v>
      </c>
      <c r="D53" s="19">
        <v>86.7416</v>
      </c>
      <c r="E53" s="19">
        <v>90.7984</v>
      </c>
      <c r="F53" s="19">
        <v>91.3789</v>
      </c>
      <c r="G53" s="19">
        <v>91.5411</v>
      </c>
      <c r="H53" s="19">
        <v>90.8871</v>
      </c>
      <c r="I53" s="19">
        <v>90.3848</v>
      </c>
      <c r="J53" s="19">
        <v>89.1334</v>
      </c>
      <c r="K53" s="19">
        <v>90.7544</v>
      </c>
      <c r="L53" s="19">
        <v>97.8965</v>
      </c>
      <c r="M53" s="19">
        <v>96.3107</v>
      </c>
      <c r="N53" s="19">
        <v>95.5962</v>
      </c>
      <c r="O53" s="19">
        <v>89.9342</v>
      </c>
      <c r="P53" s="19">
        <v>88.8853</v>
      </c>
      <c r="Q53" s="19">
        <v>93.5194</v>
      </c>
      <c r="R53" s="19">
        <v>97.0886</v>
      </c>
      <c r="S53" s="19">
        <v>95.45</v>
      </c>
      <c r="T53" s="19">
        <v>97.1098</v>
      </c>
      <c r="U53" s="19">
        <v>94.035</v>
      </c>
      <c r="V53" s="19">
        <v>90.6981</v>
      </c>
      <c r="W53" s="19">
        <v>85.6592</v>
      </c>
      <c r="X53" s="19">
        <v>91.2912</v>
      </c>
      <c r="Y53" s="19">
        <v>90.4816</v>
      </c>
      <c r="Z53" s="19">
        <v>88.8237</v>
      </c>
      <c r="AA53" s="19">
        <v>85.932</v>
      </c>
      <c r="AB53" s="21">
        <f>MAX(K53:AA53)</f>
        <v>97.8965</v>
      </c>
    </row>
    <row r="54" s="1" customFormat="1" ht="14.25" hidden="1" spans="1:27">
      <c r="A54" s="15"/>
      <c r="B54" s="16"/>
      <c r="C54" s="17" t="s">
        <v>39</v>
      </c>
      <c r="D54" s="19">
        <f t="shared" ref="D54:AA54" si="16">D52-D53</f>
        <v>-0.161600000000007</v>
      </c>
      <c r="E54" s="19">
        <f t="shared" si="16"/>
        <v>-0.588400000000007</v>
      </c>
      <c r="F54" s="19">
        <f t="shared" si="16"/>
        <v>-1.2689</v>
      </c>
      <c r="G54" s="19">
        <f t="shared" si="16"/>
        <v>-1.8811</v>
      </c>
      <c r="H54" s="19">
        <f t="shared" si="16"/>
        <v>-2.30710000000001</v>
      </c>
      <c r="I54" s="19">
        <f t="shared" si="16"/>
        <v>-1.0748</v>
      </c>
      <c r="J54" s="19">
        <f t="shared" si="16"/>
        <v>-4.6134</v>
      </c>
      <c r="K54" s="19">
        <f t="shared" si="16"/>
        <v>-2.20440000000001</v>
      </c>
      <c r="L54" s="19">
        <f t="shared" si="16"/>
        <v>-2.5665</v>
      </c>
      <c r="M54" s="19">
        <f t="shared" si="16"/>
        <v>-2.2007</v>
      </c>
      <c r="N54" s="19">
        <f t="shared" si="16"/>
        <v>-3.0762</v>
      </c>
      <c r="O54" s="19">
        <f t="shared" si="16"/>
        <v>1.28579999999999</v>
      </c>
      <c r="P54" s="19">
        <f t="shared" si="16"/>
        <v>2.46469999999999</v>
      </c>
      <c r="Q54" s="19">
        <f t="shared" si="16"/>
        <v>0.0605999999999938</v>
      </c>
      <c r="R54" s="19">
        <f t="shared" si="16"/>
        <v>-2.9786</v>
      </c>
      <c r="S54" s="19">
        <f t="shared" si="16"/>
        <v>0.209999999999994</v>
      </c>
      <c r="T54" s="19">
        <f t="shared" si="16"/>
        <v>-0.229800000000012</v>
      </c>
      <c r="U54" s="19">
        <f t="shared" si="16"/>
        <v>2.72500000000001</v>
      </c>
      <c r="V54" s="19">
        <f t="shared" si="16"/>
        <v>-1.1181</v>
      </c>
      <c r="W54" s="19">
        <f t="shared" si="16"/>
        <v>2.8608</v>
      </c>
      <c r="X54" s="19">
        <f t="shared" si="16"/>
        <v>0.41879999999999</v>
      </c>
      <c r="Y54" s="19">
        <f t="shared" si="16"/>
        <v>-0.931600000000003</v>
      </c>
      <c r="Z54" s="19">
        <f t="shared" si="16"/>
        <v>0.886299999999991</v>
      </c>
      <c r="AA54" s="19">
        <f t="shared" si="16"/>
        <v>0.378</v>
      </c>
    </row>
    <row r="55" s="1" customFormat="1" ht="20" hidden="1" customHeight="1" spans="1:27">
      <c r="A55" s="15">
        <v>46040</v>
      </c>
      <c r="B55" s="16">
        <v>4303121811816</v>
      </c>
      <c r="C55" s="17" t="s">
        <v>37</v>
      </c>
      <c r="D55" s="20">
        <v>86.43</v>
      </c>
      <c r="E55" s="20">
        <v>90.33</v>
      </c>
      <c r="F55" s="20">
        <v>90.18</v>
      </c>
      <c r="G55" s="20">
        <v>89.71</v>
      </c>
      <c r="H55" s="20">
        <v>88.58</v>
      </c>
      <c r="I55" s="20">
        <v>85.11</v>
      </c>
      <c r="J55" s="20">
        <v>77.35</v>
      </c>
      <c r="K55" s="20">
        <v>75.74</v>
      </c>
      <c r="L55" s="20">
        <v>76.51</v>
      </c>
      <c r="M55" s="20">
        <v>73.66</v>
      </c>
      <c r="N55" s="20">
        <v>70.05</v>
      </c>
      <c r="O55" s="20">
        <v>64.11</v>
      </c>
      <c r="P55" s="20">
        <v>67.51</v>
      </c>
      <c r="Q55" s="20">
        <v>70.54</v>
      </c>
      <c r="R55" s="20">
        <v>71.18</v>
      </c>
      <c r="S55" s="20">
        <v>73.66</v>
      </c>
      <c r="T55" s="20">
        <v>75.89</v>
      </c>
      <c r="U55" s="20">
        <v>74.88</v>
      </c>
      <c r="V55" s="20">
        <v>73.68</v>
      </c>
      <c r="W55" s="20">
        <v>72.58</v>
      </c>
      <c r="X55" s="20">
        <v>75.11</v>
      </c>
      <c r="Y55" s="20">
        <v>75.68</v>
      </c>
      <c r="Z55" s="20">
        <v>74.18</v>
      </c>
      <c r="AA55" s="20">
        <v>71.32</v>
      </c>
    </row>
    <row r="56" s="1" customFormat="1" ht="14.25" spans="1:28">
      <c r="A56" s="15"/>
      <c r="B56" s="16"/>
      <c r="C56" s="17" t="s">
        <v>38</v>
      </c>
      <c r="D56" s="20">
        <v>85.6838</v>
      </c>
      <c r="E56" s="20">
        <v>88.8184</v>
      </c>
      <c r="F56" s="20">
        <v>89.1123</v>
      </c>
      <c r="G56" s="20">
        <v>89.3358</v>
      </c>
      <c r="H56" s="20">
        <v>86.9981</v>
      </c>
      <c r="I56" s="20">
        <v>84.9781</v>
      </c>
      <c r="J56" s="20">
        <v>79.8618</v>
      </c>
      <c r="K56" s="20">
        <v>72.9654</v>
      </c>
      <c r="L56" s="20">
        <v>74.5613</v>
      </c>
      <c r="M56" s="20">
        <v>74.6733</v>
      </c>
      <c r="N56" s="20">
        <v>72.7162</v>
      </c>
      <c r="O56" s="20">
        <v>70.9333</v>
      </c>
      <c r="P56" s="20">
        <v>70.664</v>
      </c>
      <c r="Q56" s="20">
        <v>74.5642</v>
      </c>
      <c r="R56" s="20">
        <v>74.2188</v>
      </c>
      <c r="S56" s="20">
        <v>73.6278</v>
      </c>
      <c r="T56" s="20">
        <v>74.5554</v>
      </c>
      <c r="U56" s="20">
        <v>73.0488</v>
      </c>
      <c r="V56" s="20">
        <v>70.3648</v>
      </c>
      <c r="W56" s="20">
        <v>70.2545</v>
      </c>
      <c r="X56" s="20">
        <v>75.2751</v>
      </c>
      <c r="Y56" s="20">
        <v>75.415</v>
      </c>
      <c r="Z56" s="20">
        <v>74.8282</v>
      </c>
      <c r="AA56" s="20">
        <v>72.2216</v>
      </c>
      <c r="AB56" s="21">
        <f>MAX(K56:AA56)</f>
        <v>75.415</v>
      </c>
    </row>
    <row r="57" s="1" customFormat="1" ht="14.25" hidden="1" spans="1:27">
      <c r="A57" s="15"/>
      <c r="B57" s="16"/>
      <c r="C57" s="17" t="s">
        <v>39</v>
      </c>
      <c r="D57" s="20">
        <f t="shared" ref="D57:AA57" si="17">D55-D56</f>
        <v>0.746200000000002</v>
      </c>
      <c r="E57" s="20">
        <f t="shared" si="17"/>
        <v>1.5116</v>
      </c>
      <c r="F57" s="20">
        <f t="shared" si="17"/>
        <v>1.0677</v>
      </c>
      <c r="G57" s="20">
        <f t="shared" si="17"/>
        <v>0.374199999999988</v>
      </c>
      <c r="H57" s="20">
        <f t="shared" si="17"/>
        <v>1.5819</v>
      </c>
      <c r="I57" s="20">
        <f t="shared" si="17"/>
        <v>0.131900000000002</v>
      </c>
      <c r="J57" s="20">
        <f t="shared" si="17"/>
        <v>-2.51180000000001</v>
      </c>
      <c r="K57" s="20">
        <f t="shared" si="17"/>
        <v>2.77459999999999</v>
      </c>
      <c r="L57" s="20">
        <f t="shared" si="17"/>
        <v>1.9487</v>
      </c>
      <c r="M57" s="20">
        <f t="shared" si="17"/>
        <v>-1.0133</v>
      </c>
      <c r="N57" s="20">
        <f t="shared" si="17"/>
        <v>-2.6662</v>
      </c>
      <c r="O57" s="20">
        <f t="shared" si="17"/>
        <v>-6.8233</v>
      </c>
      <c r="P57" s="20">
        <f t="shared" si="17"/>
        <v>-3.154</v>
      </c>
      <c r="Q57" s="20">
        <f t="shared" si="17"/>
        <v>-4.02419999999999</v>
      </c>
      <c r="R57" s="20">
        <f t="shared" si="17"/>
        <v>-3.03879999999999</v>
      </c>
      <c r="S57" s="20">
        <f t="shared" si="17"/>
        <v>0.0322000000000031</v>
      </c>
      <c r="T57" s="20">
        <f t="shared" si="17"/>
        <v>1.33459999999999</v>
      </c>
      <c r="U57" s="20">
        <f t="shared" si="17"/>
        <v>1.8312</v>
      </c>
      <c r="V57" s="20">
        <f t="shared" si="17"/>
        <v>3.3152</v>
      </c>
      <c r="W57" s="20">
        <f t="shared" si="17"/>
        <v>2.32550000000001</v>
      </c>
      <c r="X57" s="20">
        <f t="shared" si="17"/>
        <v>-0.165099999999995</v>
      </c>
      <c r="Y57" s="20">
        <f t="shared" si="17"/>
        <v>0.265000000000001</v>
      </c>
      <c r="Z57" s="20">
        <f t="shared" si="17"/>
        <v>-0.648199999999989</v>
      </c>
      <c r="AA57" s="20">
        <f t="shared" si="17"/>
        <v>-0.901600000000002</v>
      </c>
    </row>
    <row r="58" s="1" customFormat="1" ht="20" hidden="1" customHeight="1" spans="1:27">
      <c r="A58" s="15">
        <v>46041</v>
      </c>
      <c r="B58" s="16">
        <v>4303121811816</v>
      </c>
      <c r="C58" s="17" t="s">
        <v>37</v>
      </c>
      <c r="D58" s="19">
        <v>73.05</v>
      </c>
      <c r="E58" s="19">
        <v>75.22</v>
      </c>
      <c r="F58" s="19">
        <v>74.61</v>
      </c>
      <c r="G58" s="19">
        <v>76.05</v>
      </c>
      <c r="H58" s="19">
        <v>75.11</v>
      </c>
      <c r="I58" s="19">
        <v>75.45</v>
      </c>
      <c r="J58" s="19">
        <v>77.62</v>
      </c>
      <c r="K58" s="19">
        <v>80.18</v>
      </c>
      <c r="L58" s="19">
        <v>96.25</v>
      </c>
      <c r="M58" s="19">
        <v>92.55</v>
      </c>
      <c r="N58" s="19">
        <v>90.18</v>
      </c>
      <c r="O58" s="19">
        <v>91.55</v>
      </c>
      <c r="P58" s="19">
        <v>91.67</v>
      </c>
      <c r="Q58" s="19">
        <v>95.66</v>
      </c>
      <c r="R58" s="19">
        <v>96.71</v>
      </c>
      <c r="S58" s="19">
        <v>96.88</v>
      </c>
      <c r="T58" s="19">
        <v>97.18</v>
      </c>
      <c r="U58" s="19">
        <v>97.28</v>
      </c>
      <c r="V58" s="19">
        <v>88.11</v>
      </c>
      <c r="W58" s="19">
        <v>87.18</v>
      </c>
      <c r="X58" s="19">
        <v>88.55</v>
      </c>
      <c r="Y58" s="19">
        <v>90.28</v>
      </c>
      <c r="Z58" s="19">
        <v>88.69</v>
      </c>
      <c r="AA58" s="19">
        <v>86.87</v>
      </c>
    </row>
    <row r="59" s="1" customFormat="1" ht="14.25" spans="1:28">
      <c r="A59" s="15"/>
      <c r="B59" s="16"/>
      <c r="C59" s="17" t="s">
        <v>38</v>
      </c>
      <c r="D59" s="19">
        <v>72.7866</v>
      </c>
      <c r="E59" s="19">
        <v>75.6026</v>
      </c>
      <c r="F59" s="19">
        <v>76.4262</v>
      </c>
      <c r="G59" s="19">
        <v>77.9979</v>
      </c>
      <c r="H59" s="19">
        <v>76.9314</v>
      </c>
      <c r="I59" s="19">
        <v>77.9803</v>
      </c>
      <c r="J59" s="19">
        <v>77.667</v>
      </c>
      <c r="K59" s="19">
        <v>91.5851</v>
      </c>
      <c r="L59" s="19">
        <v>100.2417</v>
      </c>
      <c r="M59" s="19">
        <v>101.443</v>
      </c>
      <c r="N59" s="19">
        <v>100.345</v>
      </c>
      <c r="O59" s="19">
        <v>93.016</v>
      </c>
      <c r="P59" s="19">
        <v>100.019</v>
      </c>
      <c r="Q59" s="19">
        <v>101.306</v>
      </c>
      <c r="R59" s="19">
        <v>101.2558</v>
      </c>
      <c r="S59" s="19">
        <v>101.376</v>
      </c>
      <c r="T59" s="19">
        <v>101.575</v>
      </c>
      <c r="U59" s="19">
        <v>102.275</v>
      </c>
      <c r="V59" s="19">
        <v>92.3762</v>
      </c>
      <c r="W59" s="19">
        <v>91.9987</v>
      </c>
      <c r="X59" s="19">
        <v>96.7956</v>
      </c>
      <c r="Y59" s="19">
        <v>95.744</v>
      </c>
      <c r="Z59" s="19">
        <v>94.9215</v>
      </c>
      <c r="AA59" s="19">
        <v>91.8333</v>
      </c>
      <c r="AB59" s="21">
        <f>MAX(K59:AA59)</f>
        <v>102.275</v>
      </c>
    </row>
    <row r="60" s="1" customFormat="1" ht="14.25" hidden="1" spans="1:27">
      <c r="A60" s="15"/>
      <c r="B60" s="16"/>
      <c r="C60" s="17" t="s">
        <v>39</v>
      </c>
      <c r="D60" s="19">
        <f t="shared" ref="D60:AA60" si="18">D58-D59</f>
        <v>0.26339999999999</v>
      </c>
      <c r="E60" s="19">
        <f t="shared" si="18"/>
        <v>-0.382599999999996</v>
      </c>
      <c r="F60" s="19">
        <f t="shared" si="18"/>
        <v>-1.81619999999999</v>
      </c>
      <c r="G60" s="19">
        <f t="shared" si="18"/>
        <v>-1.9479</v>
      </c>
      <c r="H60" s="19">
        <f t="shared" si="18"/>
        <v>-1.8214</v>
      </c>
      <c r="I60" s="19">
        <f t="shared" si="18"/>
        <v>-2.5303</v>
      </c>
      <c r="J60" s="19">
        <f t="shared" si="18"/>
        <v>-0.046999999999997</v>
      </c>
      <c r="K60" s="19">
        <f t="shared" si="18"/>
        <v>-11.4051</v>
      </c>
      <c r="L60" s="19">
        <f t="shared" si="18"/>
        <v>-3.99169999999999</v>
      </c>
      <c r="M60" s="19">
        <f t="shared" si="18"/>
        <v>-8.893</v>
      </c>
      <c r="N60" s="19">
        <f t="shared" si="18"/>
        <v>-10.165</v>
      </c>
      <c r="O60" s="19">
        <f t="shared" si="18"/>
        <v>-1.46600000000001</v>
      </c>
      <c r="P60" s="19">
        <f t="shared" si="18"/>
        <v>-8.349</v>
      </c>
      <c r="Q60" s="19">
        <f t="shared" si="18"/>
        <v>-5.646</v>
      </c>
      <c r="R60" s="19">
        <f t="shared" si="18"/>
        <v>-4.5458</v>
      </c>
      <c r="S60" s="19">
        <f t="shared" si="18"/>
        <v>-4.49600000000001</v>
      </c>
      <c r="T60" s="19">
        <f t="shared" si="18"/>
        <v>-4.395</v>
      </c>
      <c r="U60" s="19">
        <f t="shared" si="18"/>
        <v>-4.995</v>
      </c>
      <c r="V60" s="19">
        <f t="shared" si="18"/>
        <v>-4.2662</v>
      </c>
      <c r="W60" s="19">
        <f t="shared" si="18"/>
        <v>-4.81869999999999</v>
      </c>
      <c r="X60" s="19">
        <f t="shared" si="18"/>
        <v>-8.2456</v>
      </c>
      <c r="Y60" s="19">
        <f t="shared" si="18"/>
        <v>-5.464</v>
      </c>
      <c r="Z60" s="19">
        <f t="shared" si="18"/>
        <v>-6.2315</v>
      </c>
      <c r="AA60" s="19">
        <f t="shared" si="18"/>
        <v>-4.96329999999999</v>
      </c>
    </row>
    <row r="61" s="1" customFormat="1" ht="20" hidden="1" customHeight="1" spans="1:27">
      <c r="A61" s="15">
        <v>46042</v>
      </c>
      <c r="B61" s="16">
        <v>4303121811816</v>
      </c>
      <c r="C61" s="17" t="s">
        <v>37</v>
      </c>
      <c r="D61" s="20">
        <v>85.11</v>
      </c>
      <c r="E61" s="20">
        <v>90.28</v>
      </c>
      <c r="F61" s="20">
        <v>89.66</v>
      </c>
      <c r="G61" s="20">
        <v>89.81</v>
      </c>
      <c r="H61" s="20">
        <v>90.76</v>
      </c>
      <c r="I61" s="20">
        <v>89.58</v>
      </c>
      <c r="J61" s="20">
        <v>89.1916</v>
      </c>
      <c r="K61" s="20">
        <v>86.88</v>
      </c>
      <c r="L61" s="20">
        <v>96.54</v>
      </c>
      <c r="M61" s="20">
        <v>91.58</v>
      </c>
      <c r="N61" s="20">
        <v>92.55</v>
      </c>
      <c r="O61" s="20">
        <v>91.58</v>
      </c>
      <c r="P61" s="20">
        <v>91.55</v>
      </c>
      <c r="Q61" s="20">
        <v>95.58</v>
      </c>
      <c r="R61" s="20">
        <v>96.66</v>
      </c>
      <c r="S61" s="20">
        <v>96.76</v>
      </c>
      <c r="T61" s="20">
        <v>97.22</v>
      </c>
      <c r="U61" s="20">
        <v>97.31</v>
      </c>
      <c r="V61" s="20">
        <v>88.61</v>
      </c>
      <c r="W61" s="20">
        <v>86.58</v>
      </c>
      <c r="X61" s="20">
        <v>88.61</v>
      </c>
      <c r="Y61" s="20">
        <v>90.21</v>
      </c>
      <c r="Z61" s="20">
        <v>88.76</v>
      </c>
      <c r="AA61" s="20">
        <v>86.58</v>
      </c>
    </row>
    <row r="62" s="1" customFormat="1" ht="14.25" spans="1:28">
      <c r="A62" s="15"/>
      <c r="B62" s="16"/>
      <c r="C62" s="17" t="s">
        <v>38</v>
      </c>
      <c r="D62" s="20">
        <v>90.897</v>
      </c>
      <c r="E62" s="20">
        <v>95.1436</v>
      </c>
      <c r="F62" s="20">
        <v>94.813</v>
      </c>
      <c r="G62" s="20">
        <v>95.9293</v>
      </c>
      <c r="H62" s="20">
        <v>94.5718</v>
      </c>
      <c r="I62" s="20">
        <v>94.3515</v>
      </c>
      <c r="J62" s="20">
        <v>92.0867</v>
      </c>
      <c r="K62" s="20">
        <v>95.561</v>
      </c>
      <c r="L62" s="20">
        <v>103.324</v>
      </c>
      <c r="M62" s="20">
        <v>104.483</v>
      </c>
      <c r="N62" s="20">
        <v>101.969</v>
      </c>
      <c r="O62" s="20">
        <v>97.0094</v>
      </c>
      <c r="P62" s="20">
        <v>96.0819</v>
      </c>
      <c r="Q62" s="20">
        <v>104.171</v>
      </c>
      <c r="R62" s="20">
        <v>104.023</v>
      </c>
      <c r="S62" s="20">
        <v>105.512</v>
      </c>
      <c r="T62" s="20">
        <v>105.466</v>
      </c>
      <c r="U62" s="20">
        <v>103.113</v>
      </c>
      <c r="V62" s="20">
        <v>97.907</v>
      </c>
      <c r="W62" s="20">
        <v>93.9154</v>
      </c>
      <c r="X62" s="20">
        <v>97.0463</v>
      </c>
      <c r="Y62" s="20">
        <v>95.0083</v>
      </c>
      <c r="Z62" s="20">
        <v>94.5014</v>
      </c>
      <c r="AA62" s="20">
        <v>91.6912</v>
      </c>
      <c r="AB62" s="21">
        <f>MAX(K62:AA62)</f>
        <v>105.512</v>
      </c>
    </row>
    <row r="63" s="1" customFormat="1" ht="14.25" hidden="1" spans="1:27">
      <c r="A63" s="15"/>
      <c r="B63" s="16"/>
      <c r="C63" s="17" t="s">
        <v>39</v>
      </c>
      <c r="D63" s="20">
        <f t="shared" ref="D63:AA63" si="19">D61-D62</f>
        <v>-5.78700000000001</v>
      </c>
      <c r="E63" s="20">
        <f t="shared" si="19"/>
        <v>-4.86360000000001</v>
      </c>
      <c r="F63" s="20">
        <f t="shared" si="19"/>
        <v>-5.15300000000001</v>
      </c>
      <c r="G63" s="20">
        <f t="shared" si="19"/>
        <v>-6.1193</v>
      </c>
      <c r="H63" s="20">
        <f t="shared" si="19"/>
        <v>-3.81179999999999</v>
      </c>
      <c r="I63" s="20">
        <f t="shared" si="19"/>
        <v>-4.7715</v>
      </c>
      <c r="J63" s="20">
        <f t="shared" si="19"/>
        <v>-2.8951</v>
      </c>
      <c r="K63" s="20">
        <f t="shared" si="19"/>
        <v>-8.68100000000001</v>
      </c>
      <c r="L63" s="20">
        <f t="shared" si="19"/>
        <v>-6.78399999999999</v>
      </c>
      <c r="M63" s="20">
        <f t="shared" si="19"/>
        <v>-12.903</v>
      </c>
      <c r="N63" s="20">
        <f t="shared" si="19"/>
        <v>-9.419</v>
      </c>
      <c r="O63" s="20">
        <f t="shared" si="19"/>
        <v>-5.4294</v>
      </c>
      <c r="P63" s="20">
        <f t="shared" si="19"/>
        <v>-4.53190000000001</v>
      </c>
      <c r="Q63" s="20">
        <f t="shared" si="19"/>
        <v>-8.59100000000001</v>
      </c>
      <c r="R63" s="20">
        <f t="shared" si="19"/>
        <v>-7.363</v>
      </c>
      <c r="S63" s="20">
        <f t="shared" si="19"/>
        <v>-8.752</v>
      </c>
      <c r="T63" s="20">
        <f t="shared" si="19"/>
        <v>-8.246</v>
      </c>
      <c r="U63" s="20">
        <f t="shared" si="19"/>
        <v>-5.803</v>
      </c>
      <c r="V63" s="20">
        <f t="shared" si="19"/>
        <v>-9.297</v>
      </c>
      <c r="W63" s="20">
        <f t="shared" si="19"/>
        <v>-7.33540000000001</v>
      </c>
      <c r="X63" s="20">
        <f t="shared" si="19"/>
        <v>-8.4363</v>
      </c>
      <c r="Y63" s="20">
        <f t="shared" si="19"/>
        <v>-4.79830000000001</v>
      </c>
      <c r="Z63" s="20">
        <f t="shared" si="19"/>
        <v>-5.7414</v>
      </c>
      <c r="AA63" s="20">
        <f t="shared" si="19"/>
        <v>-5.1112</v>
      </c>
    </row>
    <row r="64" s="1" customFormat="1" ht="20" hidden="1" customHeight="1" spans="1:27">
      <c r="A64" s="15">
        <v>46043</v>
      </c>
      <c r="B64" s="16">
        <v>4303121811816</v>
      </c>
      <c r="C64" s="17" t="s">
        <v>37</v>
      </c>
      <c r="D64" s="19">
        <v>85.22</v>
      </c>
      <c r="E64" s="19">
        <v>90.31</v>
      </c>
      <c r="F64" s="19">
        <v>89.58</v>
      </c>
      <c r="G64" s="19">
        <v>90.11</v>
      </c>
      <c r="H64" s="19">
        <v>90.58</v>
      </c>
      <c r="I64" s="19">
        <v>90.61</v>
      </c>
      <c r="J64" s="19">
        <v>89.22</v>
      </c>
      <c r="K64" s="19">
        <v>86.88</v>
      </c>
      <c r="L64" s="19">
        <v>96.71</v>
      </c>
      <c r="M64" s="19">
        <v>92.18</v>
      </c>
      <c r="N64" s="19">
        <v>92.43</v>
      </c>
      <c r="O64" s="19">
        <v>91.55</v>
      </c>
      <c r="P64" s="19">
        <v>91.62</v>
      </c>
      <c r="Q64" s="19">
        <v>95.66</v>
      </c>
      <c r="R64" s="19">
        <v>96.71</v>
      </c>
      <c r="S64" s="19">
        <v>96.88</v>
      </c>
      <c r="T64" s="19">
        <v>97.32</v>
      </c>
      <c r="U64" s="19">
        <v>97.54</v>
      </c>
      <c r="V64" s="19">
        <v>88.72</v>
      </c>
      <c r="W64" s="19">
        <v>88.55</v>
      </c>
      <c r="X64" s="19">
        <v>91.66</v>
      </c>
      <c r="Y64" s="19">
        <v>90.31</v>
      </c>
      <c r="Z64" s="19">
        <v>89.55</v>
      </c>
      <c r="AA64" s="19">
        <v>86.33</v>
      </c>
    </row>
    <row r="65" s="1" customFormat="1" ht="14.25" spans="1:28">
      <c r="A65" s="15"/>
      <c r="B65" s="16"/>
      <c r="C65" s="17" t="s">
        <v>38</v>
      </c>
      <c r="D65" s="19">
        <v>90.3619</v>
      </c>
      <c r="E65" s="19">
        <v>95.0878</v>
      </c>
      <c r="F65" s="19">
        <v>96.0907</v>
      </c>
      <c r="G65" s="19">
        <v>94.6229</v>
      </c>
      <c r="H65" s="19">
        <v>94.5698</v>
      </c>
      <c r="I65" s="19">
        <v>93.9858</v>
      </c>
      <c r="J65" s="19">
        <v>92.9474</v>
      </c>
      <c r="K65" s="19">
        <v>95.6718</v>
      </c>
      <c r="L65" s="19">
        <v>103.91</v>
      </c>
      <c r="M65" s="19">
        <v>107.81</v>
      </c>
      <c r="N65" s="19">
        <v>105.697</v>
      </c>
      <c r="O65" s="19">
        <v>98.3453</v>
      </c>
      <c r="P65" s="19">
        <v>97.4864</v>
      </c>
      <c r="Q65" s="19">
        <v>104.282</v>
      </c>
      <c r="R65" s="19">
        <v>107.946</v>
      </c>
      <c r="S65" s="19">
        <v>105.605</v>
      </c>
      <c r="T65" s="19">
        <v>107.249</v>
      </c>
      <c r="U65" s="19">
        <v>104.298</v>
      </c>
      <c r="V65" s="19">
        <v>97.0323</v>
      </c>
      <c r="W65" s="19">
        <v>92.3472</v>
      </c>
      <c r="X65" s="19">
        <v>98.0778</v>
      </c>
      <c r="Y65" s="19">
        <v>95.9147</v>
      </c>
      <c r="Z65" s="19">
        <v>95.0118</v>
      </c>
      <c r="AA65" s="19">
        <v>92.143</v>
      </c>
      <c r="AB65" s="21">
        <f>MAX(K65:AA65)</f>
        <v>107.946</v>
      </c>
    </row>
    <row r="66" s="1" customFormat="1" ht="14.25" hidden="1" spans="1:27">
      <c r="A66" s="15"/>
      <c r="B66" s="16"/>
      <c r="C66" s="17" t="s">
        <v>39</v>
      </c>
      <c r="D66" s="19">
        <f t="shared" ref="D66:AA66" si="20">D64-D65</f>
        <v>-5.14190000000001</v>
      </c>
      <c r="E66" s="19">
        <f t="shared" si="20"/>
        <v>-4.7778</v>
      </c>
      <c r="F66" s="19">
        <f t="shared" si="20"/>
        <v>-6.5107</v>
      </c>
      <c r="G66" s="19">
        <f t="shared" si="20"/>
        <v>-4.5129</v>
      </c>
      <c r="H66" s="19">
        <f t="shared" si="20"/>
        <v>-3.9898</v>
      </c>
      <c r="I66" s="19">
        <f t="shared" si="20"/>
        <v>-3.3758</v>
      </c>
      <c r="J66" s="19">
        <f t="shared" si="20"/>
        <v>-3.7274</v>
      </c>
      <c r="K66" s="19">
        <f t="shared" si="20"/>
        <v>-8.79180000000001</v>
      </c>
      <c r="L66" s="19">
        <f t="shared" si="20"/>
        <v>-7.2</v>
      </c>
      <c r="M66" s="19">
        <f t="shared" si="20"/>
        <v>-15.63</v>
      </c>
      <c r="N66" s="19">
        <f t="shared" si="20"/>
        <v>-13.267</v>
      </c>
      <c r="O66" s="19">
        <f t="shared" si="20"/>
        <v>-6.7953</v>
      </c>
      <c r="P66" s="19">
        <f t="shared" si="20"/>
        <v>-5.8664</v>
      </c>
      <c r="Q66" s="19">
        <f t="shared" si="20"/>
        <v>-8.622</v>
      </c>
      <c r="R66" s="19">
        <f t="shared" si="20"/>
        <v>-11.236</v>
      </c>
      <c r="S66" s="19">
        <f t="shared" si="20"/>
        <v>-8.72500000000001</v>
      </c>
      <c r="T66" s="19">
        <f t="shared" si="20"/>
        <v>-9.929</v>
      </c>
      <c r="U66" s="19">
        <f t="shared" si="20"/>
        <v>-6.758</v>
      </c>
      <c r="V66" s="19">
        <f t="shared" si="20"/>
        <v>-8.31230000000001</v>
      </c>
      <c r="W66" s="19">
        <f t="shared" si="20"/>
        <v>-3.7972</v>
      </c>
      <c r="X66" s="19">
        <f t="shared" si="20"/>
        <v>-6.4178</v>
      </c>
      <c r="Y66" s="19">
        <f t="shared" si="20"/>
        <v>-5.60469999999999</v>
      </c>
      <c r="Z66" s="19">
        <f t="shared" si="20"/>
        <v>-5.4618</v>
      </c>
      <c r="AA66" s="19">
        <f t="shared" si="20"/>
        <v>-5.813</v>
      </c>
    </row>
    <row r="67" s="1" customFormat="1" ht="20" hidden="1" customHeight="1" spans="1:27">
      <c r="A67" s="15">
        <v>46044</v>
      </c>
      <c r="B67" s="16">
        <v>4303121811816</v>
      </c>
      <c r="C67" s="17" t="s">
        <v>37</v>
      </c>
      <c r="D67" s="20">
        <v>85.35</v>
      </c>
      <c r="E67" s="20">
        <v>90.43</v>
      </c>
      <c r="F67" s="20">
        <v>89.63</v>
      </c>
      <c r="G67" s="20">
        <v>90.22</v>
      </c>
      <c r="H67" s="20">
        <v>90.44</v>
      </c>
      <c r="I67" s="20">
        <v>90.54</v>
      </c>
      <c r="J67" s="20">
        <v>89.33</v>
      </c>
      <c r="K67" s="20">
        <v>86.71</v>
      </c>
      <c r="L67" s="20">
        <v>96.66</v>
      </c>
      <c r="M67" s="20">
        <v>92.31</v>
      </c>
      <c r="N67" s="20">
        <v>92.33</v>
      </c>
      <c r="O67" s="20">
        <v>91.54</v>
      </c>
      <c r="P67" s="20">
        <v>91.58</v>
      </c>
      <c r="Q67" s="20">
        <v>95.71</v>
      </c>
      <c r="R67" s="20">
        <v>96.58</v>
      </c>
      <c r="S67" s="20">
        <v>96.76</v>
      </c>
      <c r="T67" s="20">
        <v>97.22</v>
      </c>
      <c r="U67" s="20">
        <v>97.62</v>
      </c>
      <c r="V67" s="20">
        <v>88.58</v>
      </c>
      <c r="W67" s="20">
        <v>88.61</v>
      </c>
      <c r="X67" s="20">
        <v>91.71</v>
      </c>
      <c r="Y67" s="20">
        <v>90.44</v>
      </c>
      <c r="Z67" s="20">
        <v>89.61</v>
      </c>
      <c r="AA67" s="20">
        <v>86.42</v>
      </c>
    </row>
    <row r="68" s="1" customFormat="1" ht="20" customHeight="1" spans="1:28">
      <c r="A68" s="15"/>
      <c r="B68" s="16"/>
      <c r="C68" s="17" t="s">
        <v>38</v>
      </c>
      <c r="D68" s="20">
        <v>91.9582</v>
      </c>
      <c r="E68" s="20">
        <v>97.6589</v>
      </c>
      <c r="F68" s="20">
        <v>96.2458</v>
      </c>
      <c r="G68" s="20">
        <v>95.913</v>
      </c>
      <c r="H68" s="20">
        <v>96.1241</v>
      </c>
      <c r="I68" s="20">
        <v>96.6029</v>
      </c>
      <c r="J68" s="20">
        <v>95.3075</v>
      </c>
      <c r="K68" s="20">
        <v>96.6615</v>
      </c>
      <c r="L68" s="20">
        <v>103.952</v>
      </c>
      <c r="M68" s="20">
        <v>105.387</v>
      </c>
      <c r="N68" s="20">
        <v>104.549</v>
      </c>
      <c r="O68" s="20">
        <v>97.3949</v>
      </c>
      <c r="P68" s="20">
        <v>94.8394</v>
      </c>
      <c r="Q68" s="20">
        <v>99.8624</v>
      </c>
      <c r="R68" s="20">
        <v>103.041</v>
      </c>
      <c r="S68" s="20">
        <v>102.722</v>
      </c>
      <c r="T68" s="20">
        <v>105.602</v>
      </c>
      <c r="U68" s="20">
        <v>102.379</v>
      </c>
      <c r="V68" s="20">
        <v>99.7613</v>
      </c>
      <c r="W68" s="20">
        <v>95.2654</v>
      </c>
      <c r="X68" s="20">
        <v>98.421</v>
      </c>
      <c r="Y68" s="20">
        <v>97.152</v>
      </c>
      <c r="Z68" s="20">
        <v>96.3565</v>
      </c>
      <c r="AA68" s="20">
        <v>92.5848</v>
      </c>
      <c r="AB68" s="21">
        <f>MAX(K68:AA68)</f>
        <v>105.602</v>
      </c>
    </row>
    <row r="69" s="1" customFormat="1" ht="20" hidden="1" customHeight="1" spans="1:27">
      <c r="A69" s="15"/>
      <c r="B69" s="16"/>
      <c r="C69" s="17" t="s">
        <v>39</v>
      </c>
      <c r="D69" s="20">
        <f t="shared" ref="D69:AA69" si="21">D67-D68</f>
        <v>-6.60820000000001</v>
      </c>
      <c r="E69" s="20">
        <f t="shared" si="21"/>
        <v>-7.2289</v>
      </c>
      <c r="F69" s="20">
        <f t="shared" si="21"/>
        <v>-6.61580000000001</v>
      </c>
      <c r="G69" s="20">
        <f t="shared" si="21"/>
        <v>-5.693</v>
      </c>
      <c r="H69" s="20">
        <f t="shared" si="21"/>
        <v>-5.6841</v>
      </c>
      <c r="I69" s="20">
        <f t="shared" si="21"/>
        <v>-6.0629</v>
      </c>
      <c r="J69" s="20">
        <f t="shared" si="21"/>
        <v>-5.97750000000001</v>
      </c>
      <c r="K69" s="20">
        <f t="shared" si="21"/>
        <v>-9.95150000000001</v>
      </c>
      <c r="L69" s="20">
        <f t="shared" si="21"/>
        <v>-7.292</v>
      </c>
      <c r="M69" s="20">
        <f t="shared" si="21"/>
        <v>-13.077</v>
      </c>
      <c r="N69" s="20">
        <f t="shared" si="21"/>
        <v>-12.219</v>
      </c>
      <c r="O69" s="20">
        <f t="shared" si="21"/>
        <v>-5.8549</v>
      </c>
      <c r="P69" s="20">
        <f t="shared" si="21"/>
        <v>-3.2594</v>
      </c>
      <c r="Q69" s="20">
        <f t="shared" si="21"/>
        <v>-4.1524</v>
      </c>
      <c r="R69" s="20">
        <f t="shared" si="21"/>
        <v>-6.461</v>
      </c>
      <c r="S69" s="20">
        <f t="shared" si="21"/>
        <v>-5.96199999999999</v>
      </c>
      <c r="T69" s="20">
        <f t="shared" si="21"/>
        <v>-8.382</v>
      </c>
      <c r="U69" s="20">
        <f t="shared" si="21"/>
        <v>-4.759</v>
      </c>
      <c r="V69" s="20">
        <f t="shared" si="21"/>
        <v>-11.1813</v>
      </c>
      <c r="W69" s="20">
        <f t="shared" si="21"/>
        <v>-6.6554</v>
      </c>
      <c r="X69" s="20">
        <f t="shared" si="21"/>
        <v>-6.71100000000001</v>
      </c>
      <c r="Y69" s="20">
        <f t="shared" si="21"/>
        <v>-6.712</v>
      </c>
      <c r="Z69" s="20">
        <f t="shared" si="21"/>
        <v>-6.7465</v>
      </c>
      <c r="AA69" s="20">
        <f t="shared" si="21"/>
        <v>-6.1648</v>
      </c>
    </row>
    <row r="70" s="1" customFormat="1" ht="20" hidden="1" customHeight="1" spans="1:27">
      <c r="A70" s="15">
        <v>46045</v>
      </c>
      <c r="B70" s="16">
        <v>4303121811816</v>
      </c>
      <c r="C70" s="17" t="s">
        <v>37</v>
      </c>
      <c r="D70" s="19">
        <v>85.73</v>
      </c>
      <c r="E70" s="19">
        <v>89.66</v>
      </c>
      <c r="F70" s="19">
        <v>90.68</v>
      </c>
      <c r="G70" s="19">
        <v>90.66</v>
      </c>
      <c r="H70" s="19">
        <v>90.58</v>
      </c>
      <c r="I70" s="19">
        <v>89.99</v>
      </c>
      <c r="J70" s="19">
        <v>87.88</v>
      </c>
      <c r="K70" s="19">
        <v>87.58</v>
      </c>
      <c r="L70" s="19">
        <v>97.58</v>
      </c>
      <c r="M70" s="19">
        <v>96.22</v>
      </c>
      <c r="N70" s="19">
        <v>95.77</v>
      </c>
      <c r="O70" s="19">
        <v>92.33</v>
      </c>
      <c r="P70" s="19">
        <v>90.26</v>
      </c>
      <c r="Q70" s="19">
        <v>97.11</v>
      </c>
      <c r="R70" s="19">
        <v>98.21</v>
      </c>
      <c r="S70" s="19">
        <v>96.58</v>
      </c>
      <c r="T70" s="19">
        <v>97.66</v>
      </c>
      <c r="U70" s="19">
        <v>97.35</v>
      </c>
      <c r="V70" s="19">
        <v>92.55</v>
      </c>
      <c r="W70" s="19">
        <v>89.66</v>
      </c>
      <c r="X70" s="19">
        <v>92.89</v>
      </c>
      <c r="Y70" s="19">
        <v>93.33</v>
      </c>
      <c r="Z70" s="19">
        <v>92.11</v>
      </c>
      <c r="AA70" s="19">
        <v>87.66</v>
      </c>
    </row>
    <row r="71" s="1" customFormat="1" ht="20" customHeight="1" spans="1:28">
      <c r="A71" s="15"/>
      <c r="B71" s="16"/>
      <c r="C71" s="17" t="s">
        <v>38</v>
      </c>
      <c r="D71" s="19">
        <v>93.2518</v>
      </c>
      <c r="E71" s="19">
        <v>96.6346</v>
      </c>
      <c r="F71" s="19">
        <v>95.4788</v>
      </c>
      <c r="G71" s="19">
        <v>95.5926</v>
      </c>
      <c r="H71" s="19">
        <v>95.1211</v>
      </c>
      <c r="I71" s="19">
        <v>94.0386</v>
      </c>
      <c r="J71" s="19">
        <v>91.7629</v>
      </c>
      <c r="K71" s="19">
        <v>92.7734</v>
      </c>
      <c r="L71" s="19">
        <v>100.735</v>
      </c>
      <c r="M71" s="19">
        <v>98.6547</v>
      </c>
      <c r="N71" s="19">
        <v>96.0626</v>
      </c>
      <c r="O71" s="19">
        <v>90.3091</v>
      </c>
      <c r="P71" s="19">
        <v>89.3816</v>
      </c>
      <c r="Q71" s="19">
        <v>95.6912</v>
      </c>
      <c r="R71" s="19">
        <v>99.3309</v>
      </c>
      <c r="S71" s="19">
        <v>99.8906</v>
      </c>
      <c r="T71" s="19">
        <v>102.254</v>
      </c>
      <c r="U71" s="19">
        <v>100.104</v>
      </c>
      <c r="V71" s="19">
        <v>96.7208</v>
      </c>
      <c r="W71" s="19">
        <v>91.9706</v>
      </c>
      <c r="X71" s="19">
        <v>99.6325</v>
      </c>
      <c r="Y71" s="19">
        <v>99.3115</v>
      </c>
      <c r="Z71" s="19">
        <v>98.083</v>
      </c>
      <c r="AA71" s="19">
        <v>93.8274</v>
      </c>
      <c r="AB71" s="21">
        <f>MAX(K71:AA71)</f>
        <v>102.254</v>
      </c>
    </row>
    <row r="72" s="1" customFormat="1" ht="20" hidden="1" customHeight="1" spans="1:27">
      <c r="A72" s="15"/>
      <c r="B72" s="16"/>
      <c r="C72" s="17" t="s">
        <v>39</v>
      </c>
      <c r="D72" s="19">
        <f t="shared" ref="D72:AA72" si="22">D70-D71</f>
        <v>-7.5218</v>
      </c>
      <c r="E72" s="19">
        <f t="shared" si="22"/>
        <v>-6.97460000000001</v>
      </c>
      <c r="F72" s="19">
        <f t="shared" si="22"/>
        <v>-4.7988</v>
      </c>
      <c r="G72" s="19">
        <f t="shared" si="22"/>
        <v>-4.93260000000001</v>
      </c>
      <c r="H72" s="19">
        <f t="shared" si="22"/>
        <v>-4.5411</v>
      </c>
      <c r="I72" s="19">
        <f t="shared" si="22"/>
        <v>-4.04860000000001</v>
      </c>
      <c r="J72" s="19">
        <f t="shared" si="22"/>
        <v>-3.88290000000001</v>
      </c>
      <c r="K72" s="19">
        <f t="shared" si="22"/>
        <v>-5.1934</v>
      </c>
      <c r="L72" s="19">
        <f t="shared" si="22"/>
        <v>-3.155</v>
      </c>
      <c r="M72" s="19">
        <f t="shared" si="22"/>
        <v>-2.43470000000001</v>
      </c>
      <c r="N72" s="19">
        <f t="shared" si="22"/>
        <v>-0.292600000000007</v>
      </c>
      <c r="O72" s="19">
        <f t="shared" si="22"/>
        <v>2.0209</v>
      </c>
      <c r="P72" s="19">
        <f t="shared" si="22"/>
        <v>0.878399999999999</v>
      </c>
      <c r="Q72" s="19">
        <f t="shared" si="22"/>
        <v>1.4188</v>
      </c>
      <c r="R72" s="19">
        <f t="shared" si="22"/>
        <v>-1.12090000000001</v>
      </c>
      <c r="S72" s="19">
        <f t="shared" si="22"/>
        <v>-3.31060000000001</v>
      </c>
      <c r="T72" s="19">
        <f t="shared" si="22"/>
        <v>-4.59400000000001</v>
      </c>
      <c r="U72" s="19">
        <f t="shared" si="22"/>
        <v>-2.754</v>
      </c>
      <c r="V72" s="19">
        <f t="shared" si="22"/>
        <v>-4.1708</v>
      </c>
      <c r="W72" s="19">
        <f t="shared" si="22"/>
        <v>-2.31060000000001</v>
      </c>
      <c r="X72" s="19">
        <f t="shared" si="22"/>
        <v>-6.74249999999999</v>
      </c>
      <c r="Y72" s="19">
        <f t="shared" si="22"/>
        <v>-5.9815</v>
      </c>
      <c r="Z72" s="19">
        <f t="shared" si="22"/>
        <v>-5.973</v>
      </c>
      <c r="AA72" s="19">
        <f t="shared" si="22"/>
        <v>-6.1674</v>
      </c>
    </row>
    <row r="73" s="1" customFormat="1" ht="20" hidden="1" customHeight="1" spans="1:27">
      <c r="A73" s="15">
        <v>46046</v>
      </c>
      <c r="B73" s="16">
        <v>4303121811816</v>
      </c>
      <c r="C73" s="17" t="s">
        <v>37</v>
      </c>
      <c r="D73" s="20">
        <v>85.66</v>
      </c>
      <c r="E73" s="20">
        <v>89.71</v>
      </c>
      <c r="F73" s="20">
        <v>90.72</v>
      </c>
      <c r="G73" s="20">
        <v>90.58</v>
      </c>
      <c r="H73" s="20">
        <v>90.66</v>
      </c>
      <c r="I73" s="20">
        <v>89.71</v>
      </c>
      <c r="J73" s="20">
        <v>87.68</v>
      </c>
      <c r="K73" s="20">
        <v>87.61</v>
      </c>
      <c r="L73" s="20">
        <v>97.47</v>
      </c>
      <c r="M73" s="20">
        <v>96.31</v>
      </c>
      <c r="N73" s="20">
        <v>95.66</v>
      </c>
      <c r="O73" s="20">
        <v>92.41</v>
      </c>
      <c r="P73" s="20">
        <v>90.38</v>
      </c>
      <c r="Q73" s="20">
        <v>97.22</v>
      </c>
      <c r="R73" s="20">
        <v>98.21</v>
      </c>
      <c r="S73" s="20">
        <v>96.33</v>
      </c>
      <c r="T73" s="20">
        <v>97.58</v>
      </c>
      <c r="U73" s="20">
        <v>97.54</v>
      </c>
      <c r="V73" s="20">
        <v>92.36</v>
      </c>
      <c r="W73" s="20">
        <v>89.58</v>
      </c>
      <c r="X73" s="20">
        <v>92.77</v>
      </c>
      <c r="Y73" s="20">
        <v>93.26</v>
      </c>
      <c r="Z73" s="20">
        <v>92.38</v>
      </c>
      <c r="AA73" s="20">
        <v>87.58</v>
      </c>
    </row>
    <row r="74" s="1" customFormat="1" ht="20" customHeight="1" spans="1:28">
      <c r="A74" s="15"/>
      <c r="B74" s="16"/>
      <c r="C74" s="17" t="s">
        <v>38</v>
      </c>
      <c r="D74" s="20">
        <v>93.3926</v>
      </c>
      <c r="E74" s="20">
        <v>97.9968</v>
      </c>
      <c r="F74" s="20">
        <v>97.3368</v>
      </c>
      <c r="G74" s="20">
        <v>97.8419</v>
      </c>
      <c r="H74" s="20">
        <v>97.1532</v>
      </c>
      <c r="I74" s="20">
        <v>96.0802</v>
      </c>
      <c r="J74" s="20">
        <v>92.8013</v>
      </c>
      <c r="K74" s="20">
        <v>91.8714</v>
      </c>
      <c r="L74" s="20">
        <v>99.8254</v>
      </c>
      <c r="M74" s="20">
        <v>95.693</v>
      </c>
      <c r="N74" s="20">
        <v>92.4053</v>
      </c>
      <c r="O74" s="20">
        <v>88.1989</v>
      </c>
      <c r="P74" s="20">
        <v>89.6826</v>
      </c>
      <c r="Q74" s="20">
        <v>90.6998</v>
      </c>
      <c r="R74" s="20">
        <v>92.2874</v>
      </c>
      <c r="S74" s="20">
        <v>95.0805</v>
      </c>
      <c r="T74" s="20">
        <v>95.4586</v>
      </c>
      <c r="U74" s="20">
        <v>96.5941</v>
      </c>
      <c r="V74" s="20">
        <v>92.6992</v>
      </c>
      <c r="W74" s="20">
        <v>89.8462</v>
      </c>
      <c r="X74" s="20">
        <v>94.9643</v>
      </c>
      <c r="Y74" s="20">
        <v>93.5933</v>
      </c>
      <c r="Z74" s="20">
        <v>93.3082</v>
      </c>
      <c r="AA74" s="20">
        <v>90.2475</v>
      </c>
      <c r="AB74" s="21">
        <f>MAX(K74:AA74)</f>
        <v>99.8254</v>
      </c>
    </row>
    <row r="75" s="1" customFormat="1" ht="14.25" hidden="1" spans="1:27">
      <c r="A75" s="15"/>
      <c r="B75" s="16"/>
      <c r="C75" s="17" t="s">
        <v>39</v>
      </c>
      <c r="D75" s="20">
        <f t="shared" ref="D75:AA75" si="23">D73-D74</f>
        <v>-7.73260000000001</v>
      </c>
      <c r="E75" s="20">
        <f t="shared" si="23"/>
        <v>-8.2868</v>
      </c>
      <c r="F75" s="20">
        <f t="shared" si="23"/>
        <v>-6.6168</v>
      </c>
      <c r="G75" s="20">
        <f t="shared" si="23"/>
        <v>-7.2619</v>
      </c>
      <c r="H75" s="20">
        <f t="shared" si="23"/>
        <v>-6.4932</v>
      </c>
      <c r="I75" s="20">
        <f t="shared" si="23"/>
        <v>-6.37020000000001</v>
      </c>
      <c r="J75" s="20">
        <f t="shared" si="23"/>
        <v>-5.12129999999999</v>
      </c>
      <c r="K75" s="20">
        <f t="shared" si="23"/>
        <v>-4.26139999999999</v>
      </c>
      <c r="L75" s="20">
        <f t="shared" si="23"/>
        <v>-2.3554</v>
      </c>
      <c r="M75" s="20">
        <f t="shared" si="23"/>
        <v>0.617000000000004</v>
      </c>
      <c r="N75" s="20">
        <f t="shared" si="23"/>
        <v>3.2547</v>
      </c>
      <c r="O75" s="20">
        <f t="shared" si="23"/>
        <v>4.2111</v>
      </c>
      <c r="P75" s="20">
        <f t="shared" si="23"/>
        <v>0.697400000000002</v>
      </c>
      <c r="Q75" s="20">
        <f t="shared" si="23"/>
        <v>6.5202</v>
      </c>
      <c r="R75" s="20">
        <f t="shared" si="23"/>
        <v>5.92259999999999</v>
      </c>
      <c r="S75" s="20">
        <f t="shared" si="23"/>
        <v>1.2495</v>
      </c>
      <c r="T75" s="20">
        <f t="shared" si="23"/>
        <v>2.12139999999999</v>
      </c>
      <c r="U75" s="20">
        <f t="shared" si="23"/>
        <v>0.945900000000009</v>
      </c>
      <c r="V75" s="20">
        <f t="shared" si="23"/>
        <v>-0.339200000000005</v>
      </c>
      <c r="W75" s="20">
        <f t="shared" si="23"/>
        <v>-0.266199999999998</v>
      </c>
      <c r="X75" s="20">
        <f t="shared" si="23"/>
        <v>-2.1943</v>
      </c>
      <c r="Y75" s="20">
        <f t="shared" si="23"/>
        <v>-0.333299999999994</v>
      </c>
      <c r="Z75" s="20">
        <f t="shared" si="23"/>
        <v>-0.928200000000004</v>
      </c>
      <c r="AA75" s="20">
        <f t="shared" si="23"/>
        <v>-2.6675</v>
      </c>
    </row>
    <row r="76" s="1" customFormat="1" ht="14.25" hidden="1" spans="1:27">
      <c r="A76" s="15">
        <v>46047</v>
      </c>
      <c r="B76" s="16">
        <v>4303121811816</v>
      </c>
      <c r="C76" s="17" t="s">
        <v>37</v>
      </c>
      <c r="D76" s="19">
        <v>85.58</v>
      </c>
      <c r="E76" s="19">
        <v>89.61</v>
      </c>
      <c r="F76" s="19">
        <v>89.55</v>
      </c>
      <c r="G76" s="19">
        <v>89.28</v>
      </c>
      <c r="H76" s="19">
        <v>88.55</v>
      </c>
      <c r="I76" s="19">
        <v>85.11</v>
      </c>
      <c r="J76" s="19">
        <v>77.62</v>
      </c>
      <c r="K76" s="19">
        <v>76.58</v>
      </c>
      <c r="L76" s="19">
        <v>76.44</v>
      </c>
      <c r="M76" s="19">
        <v>72.85</v>
      </c>
      <c r="N76" s="19">
        <v>70.58</v>
      </c>
      <c r="O76" s="19">
        <v>64.28</v>
      </c>
      <c r="P76" s="19">
        <v>67.54</v>
      </c>
      <c r="Q76" s="19">
        <v>70.41</v>
      </c>
      <c r="R76" s="19">
        <v>71.11</v>
      </c>
      <c r="S76" s="19">
        <v>73.62</v>
      </c>
      <c r="T76" s="19">
        <v>76.28</v>
      </c>
      <c r="U76" s="19">
        <v>74.87</v>
      </c>
      <c r="V76" s="19">
        <v>73.66</v>
      </c>
      <c r="W76" s="19">
        <v>72.55</v>
      </c>
      <c r="X76" s="19">
        <v>75.18</v>
      </c>
      <c r="Y76" s="19">
        <v>75.55</v>
      </c>
      <c r="Z76" s="19">
        <v>74.11</v>
      </c>
      <c r="AA76" s="19">
        <v>71.33</v>
      </c>
    </row>
    <row r="77" s="1" customFormat="1" ht="20" customHeight="1" spans="1:28">
      <c r="A77" s="15"/>
      <c r="B77" s="16"/>
      <c r="C77" s="17" t="s">
        <v>38</v>
      </c>
      <c r="D77" s="19">
        <v>88.3451</v>
      </c>
      <c r="E77" s="19">
        <v>92.4458</v>
      </c>
      <c r="F77" s="19">
        <v>91.4453</v>
      </c>
      <c r="G77" s="19">
        <v>90.5502</v>
      </c>
      <c r="H77" s="19">
        <v>89.7745</v>
      </c>
      <c r="I77" s="19">
        <v>88.1848</v>
      </c>
      <c r="J77" s="19">
        <v>82.2466</v>
      </c>
      <c r="K77" s="19">
        <v>79.8835</v>
      </c>
      <c r="L77" s="19">
        <v>84.1533</v>
      </c>
      <c r="M77" s="19">
        <v>82.2694</v>
      </c>
      <c r="N77" s="19">
        <v>82.9154</v>
      </c>
      <c r="O77" s="19">
        <v>76.64</v>
      </c>
      <c r="P77" s="19">
        <v>79.3849</v>
      </c>
      <c r="Q77" s="19">
        <v>81.5347</v>
      </c>
      <c r="R77" s="19">
        <v>81.4739</v>
      </c>
      <c r="S77" s="19">
        <v>82.5898</v>
      </c>
      <c r="T77" s="19">
        <v>81.8611</v>
      </c>
      <c r="U77" s="19">
        <v>81.0586</v>
      </c>
      <c r="V77" s="19">
        <v>75.3544</v>
      </c>
      <c r="W77" s="19">
        <v>74.4815</v>
      </c>
      <c r="X77" s="19">
        <v>79.1866</v>
      </c>
      <c r="Y77" s="19">
        <v>79.8755</v>
      </c>
      <c r="Z77" s="19">
        <v>79.9779</v>
      </c>
      <c r="AA77" s="19">
        <v>75.5615</v>
      </c>
      <c r="AB77" s="21">
        <f>MAX(K77:AA77)</f>
        <v>84.1533</v>
      </c>
    </row>
    <row r="78" s="1" customFormat="1" ht="20" hidden="1" customHeight="1" spans="1:27">
      <c r="A78" s="15"/>
      <c r="B78" s="16"/>
      <c r="C78" s="17" t="s">
        <v>39</v>
      </c>
      <c r="D78" s="19">
        <f t="shared" ref="D78:AA78" si="24">D76-D77</f>
        <v>-2.7651</v>
      </c>
      <c r="E78" s="19">
        <f t="shared" si="24"/>
        <v>-2.83580000000001</v>
      </c>
      <c r="F78" s="19">
        <f t="shared" si="24"/>
        <v>-1.89530000000001</v>
      </c>
      <c r="G78" s="19">
        <f t="shared" si="24"/>
        <v>-1.2702</v>
      </c>
      <c r="H78" s="19">
        <f t="shared" si="24"/>
        <v>-1.22450000000001</v>
      </c>
      <c r="I78" s="19">
        <f t="shared" si="24"/>
        <v>-3.0748</v>
      </c>
      <c r="J78" s="19">
        <f t="shared" si="24"/>
        <v>-4.6266</v>
      </c>
      <c r="K78" s="19">
        <f t="shared" si="24"/>
        <v>-3.3035</v>
      </c>
      <c r="L78" s="19">
        <f t="shared" si="24"/>
        <v>-7.7133</v>
      </c>
      <c r="M78" s="19">
        <f t="shared" si="24"/>
        <v>-9.41940000000001</v>
      </c>
      <c r="N78" s="19">
        <f t="shared" si="24"/>
        <v>-12.3354</v>
      </c>
      <c r="O78" s="19">
        <f t="shared" si="24"/>
        <v>-12.36</v>
      </c>
      <c r="P78" s="19">
        <f t="shared" si="24"/>
        <v>-11.8449</v>
      </c>
      <c r="Q78" s="19">
        <f t="shared" si="24"/>
        <v>-11.1247</v>
      </c>
      <c r="R78" s="19">
        <f t="shared" si="24"/>
        <v>-10.3639</v>
      </c>
      <c r="S78" s="19">
        <f t="shared" si="24"/>
        <v>-8.96979999999999</v>
      </c>
      <c r="T78" s="19">
        <f t="shared" si="24"/>
        <v>-5.58109999999999</v>
      </c>
      <c r="U78" s="19">
        <f t="shared" si="24"/>
        <v>-6.18859999999999</v>
      </c>
      <c r="V78" s="19">
        <f t="shared" si="24"/>
        <v>-1.6944</v>
      </c>
      <c r="W78" s="19">
        <f t="shared" si="24"/>
        <v>-1.9315</v>
      </c>
      <c r="X78" s="19">
        <f t="shared" si="24"/>
        <v>-4.00659999999999</v>
      </c>
      <c r="Y78" s="19">
        <f t="shared" si="24"/>
        <v>-4.32550000000001</v>
      </c>
      <c r="Z78" s="19">
        <f t="shared" si="24"/>
        <v>-5.86790000000001</v>
      </c>
      <c r="AA78" s="19">
        <f t="shared" si="24"/>
        <v>-4.2315</v>
      </c>
    </row>
    <row r="79" s="1" customFormat="1" ht="20" hidden="1" customHeight="1" spans="1:27">
      <c r="A79" s="15">
        <v>46048</v>
      </c>
      <c r="B79" s="16">
        <v>4303121811816</v>
      </c>
      <c r="C79" s="17" t="s">
        <v>37</v>
      </c>
      <c r="D79" s="20">
        <v>73.58</v>
      </c>
      <c r="E79" s="20">
        <v>75.62</v>
      </c>
      <c r="F79" s="20">
        <v>74.44</v>
      </c>
      <c r="G79" s="20">
        <v>76.11</v>
      </c>
      <c r="H79" s="20">
        <v>75.21</v>
      </c>
      <c r="I79" s="20">
        <v>75.55</v>
      </c>
      <c r="J79" s="20">
        <v>77.33</v>
      </c>
      <c r="K79" s="20">
        <v>80.45</v>
      </c>
      <c r="L79" s="20">
        <v>98.28</v>
      </c>
      <c r="M79" s="20">
        <v>96.44</v>
      </c>
      <c r="N79" s="20">
        <v>95.11</v>
      </c>
      <c r="O79" s="20">
        <v>91.62</v>
      </c>
      <c r="P79" s="20">
        <v>90.58</v>
      </c>
      <c r="Q79" s="20">
        <v>95.22</v>
      </c>
      <c r="R79" s="20">
        <v>93.41</v>
      </c>
      <c r="S79" s="20">
        <v>93.68</v>
      </c>
      <c r="T79" s="20">
        <v>96.55</v>
      </c>
      <c r="U79" s="20">
        <v>96.11</v>
      </c>
      <c r="V79" s="20">
        <v>92.31</v>
      </c>
      <c r="W79" s="20">
        <v>88.12</v>
      </c>
      <c r="X79" s="20">
        <v>92.28</v>
      </c>
      <c r="Y79" s="20">
        <v>90.11</v>
      </c>
      <c r="Z79" s="20">
        <v>89.66</v>
      </c>
      <c r="AA79" s="20">
        <v>85.98</v>
      </c>
    </row>
    <row r="80" s="1" customFormat="1" ht="20" customHeight="1" spans="1:28">
      <c r="A80" s="15"/>
      <c r="B80" s="16"/>
      <c r="C80" s="17" t="s">
        <v>38</v>
      </c>
      <c r="D80" s="20">
        <v>75.3808</v>
      </c>
      <c r="E80" s="20">
        <v>79.0425</v>
      </c>
      <c r="F80" s="20">
        <v>79.772</v>
      </c>
      <c r="G80" s="20">
        <v>79.1438</v>
      </c>
      <c r="H80" s="20">
        <v>79.7579</v>
      </c>
      <c r="I80" s="20">
        <v>80.7488</v>
      </c>
      <c r="J80" s="20">
        <v>78.6421</v>
      </c>
      <c r="K80" s="20">
        <v>84.2375</v>
      </c>
      <c r="L80" s="20">
        <v>96.1234</v>
      </c>
      <c r="M80" s="20">
        <v>99.7832</v>
      </c>
      <c r="N80" s="20">
        <v>97.5436</v>
      </c>
      <c r="O80" s="20">
        <v>93.1656</v>
      </c>
      <c r="P80" s="20">
        <v>94.16</v>
      </c>
      <c r="Q80" s="20">
        <v>100.459</v>
      </c>
      <c r="R80" s="20">
        <v>101.605</v>
      </c>
      <c r="S80" s="20">
        <v>102.497</v>
      </c>
      <c r="T80" s="20">
        <v>101.707</v>
      </c>
      <c r="U80" s="20">
        <v>101.131</v>
      </c>
      <c r="V80" s="20">
        <v>95.8602</v>
      </c>
      <c r="W80" s="20">
        <v>90.6787</v>
      </c>
      <c r="X80" s="20">
        <v>93.4525</v>
      </c>
      <c r="Y80" s="20">
        <v>92.1466</v>
      </c>
      <c r="Z80" s="20">
        <v>91.6133</v>
      </c>
      <c r="AA80" s="20">
        <v>86.6677</v>
      </c>
      <c r="AB80" s="21">
        <f>MAX(K80:AA80)</f>
        <v>102.497</v>
      </c>
    </row>
    <row r="81" s="1" customFormat="1" ht="20" hidden="1" customHeight="1" spans="1:27">
      <c r="A81" s="15"/>
      <c r="B81" s="16"/>
      <c r="C81" s="17" t="s">
        <v>39</v>
      </c>
      <c r="D81" s="20">
        <f t="shared" ref="D81:AA81" si="25">D79-D80</f>
        <v>-1.8008</v>
      </c>
      <c r="E81" s="20">
        <f t="shared" si="25"/>
        <v>-3.4225</v>
      </c>
      <c r="F81" s="20">
        <f t="shared" si="25"/>
        <v>-5.33200000000001</v>
      </c>
      <c r="G81" s="20">
        <f t="shared" si="25"/>
        <v>-3.0338</v>
      </c>
      <c r="H81" s="20">
        <f t="shared" si="25"/>
        <v>-4.54790000000001</v>
      </c>
      <c r="I81" s="20">
        <f t="shared" si="25"/>
        <v>-5.19880000000001</v>
      </c>
      <c r="J81" s="20">
        <f t="shared" si="25"/>
        <v>-1.3121</v>
      </c>
      <c r="K81" s="20">
        <f t="shared" si="25"/>
        <v>-3.78749999999999</v>
      </c>
      <c r="L81" s="20">
        <f t="shared" si="25"/>
        <v>2.1566</v>
      </c>
      <c r="M81" s="20">
        <f t="shared" si="25"/>
        <v>-3.3432</v>
      </c>
      <c r="N81" s="20">
        <f t="shared" si="25"/>
        <v>-2.4336</v>
      </c>
      <c r="O81" s="20">
        <f t="shared" si="25"/>
        <v>-1.54559999999999</v>
      </c>
      <c r="P81" s="20">
        <f t="shared" si="25"/>
        <v>-3.58</v>
      </c>
      <c r="Q81" s="20">
        <f t="shared" si="25"/>
        <v>-5.239</v>
      </c>
      <c r="R81" s="20">
        <f t="shared" si="25"/>
        <v>-8.19500000000001</v>
      </c>
      <c r="S81" s="20">
        <f t="shared" si="25"/>
        <v>-8.81699999999999</v>
      </c>
      <c r="T81" s="20">
        <f t="shared" si="25"/>
        <v>-5.157</v>
      </c>
      <c r="U81" s="20">
        <f t="shared" si="25"/>
        <v>-5.021</v>
      </c>
      <c r="V81" s="20">
        <f t="shared" si="25"/>
        <v>-3.5502</v>
      </c>
      <c r="W81" s="20">
        <f t="shared" si="25"/>
        <v>-2.5587</v>
      </c>
      <c r="X81" s="20">
        <f t="shared" si="25"/>
        <v>-1.1725</v>
      </c>
      <c r="Y81" s="20">
        <f t="shared" si="25"/>
        <v>-2.03660000000001</v>
      </c>
      <c r="Z81" s="20">
        <f t="shared" si="25"/>
        <v>-1.9533</v>
      </c>
      <c r="AA81" s="20">
        <f t="shared" si="25"/>
        <v>-0.687699999999992</v>
      </c>
    </row>
    <row r="82" s="1" customFormat="1" ht="20" hidden="1" customHeight="1" spans="1:27">
      <c r="A82" s="15">
        <v>46049</v>
      </c>
      <c r="B82" s="16">
        <v>4303121811816</v>
      </c>
      <c r="C82" s="17" t="s">
        <v>37</v>
      </c>
      <c r="D82" s="19">
        <v>85.71</v>
      </c>
      <c r="E82" s="19">
        <v>89.66</v>
      </c>
      <c r="F82" s="19">
        <v>90.66</v>
      </c>
      <c r="G82" s="19">
        <v>90.58</v>
      </c>
      <c r="H82" s="19">
        <v>90.85</v>
      </c>
      <c r="I82" s="19">
        <v>89.66</v>
      </c>
      <c r="J82" s="19">
        <v>87.86</v>
      </c>
      <c r="K82" s="19">
        <v>87.81</v>
      </c>
      <c r="L82" s="19">
        <v>97.66</v>
      </c>
      <c r="M82" s="19">
        <v>96.41</v>
      </c>
      <c r="N82" s="19">
        <v>95.71</v>
      </c>
      <c r="O82" s="19">
        <v>92.33</v>
      </c>
      <c r="P82" s="19">
        <v>90.41</v>
      </c>
      <c r="Q82" s="19">
        <v>97.31</v>
      </c>
      <c r="R82" s="19">
        <v>98.33</v>
      </c>
      <c r="S82" s="19">
        <v>96.41</v>
      </c>
      <c r="T82" s="19">
        <v>97.62</v>
      </c>
      <c r="U82" s="19">
        <v>97.55</v>
      </c>
      <c r="V82" s="19">
        <v>92.44</v>
      </c>
      <c r="W82" s="19">
        <v>89.61</v>
      </c>
      <c r="X82" s="19">
        <v>92.66</v>
      </c>
      <c r="Y82" s="19">
        <v>93.33</v>
      </c>
      <c r="Z82" s="19">
        <v>92.88</v>
      </c>
      <c r="AA82" s="19">
        <v>87.62</v>
      </c>
    </row>
    <row r="83" s="1" customFormat="1" ht="20" customHeight="1" spans="1:28">
      <c r="A83" s="15"/>
      <c r="B83" s="16"/>
      <c r="C83" s="17" t="s">
        <v>38</v>
      </c>
      <c r="D83" s="19">
        <v>84.9658</v>
      </c>
      <c r="E83" s="19">
        <v>90.7403</v>
      </c>
      <c r="F83" s="19">
        <v>90.9754</v>
      </c>
      <c r="G83" s="19">
        <v>91.2507</v>
      </c>
      <c r="H83" s="19">
        <v>91.9442</v>
      </c>
      <c r="I83" s="19">
        <v>89.0226</v>
      </c>
      <c r="J83" s="19">
        <v>87.9426</v>
      </c>
      <c r="K83" s="19">
        <v>90.1384</v>
      </c>
      <c r="L83" s="19">
        <v>99.1937</v>
      </c>
      <c r="M83" s="19">
        <v>99.1819</v>
      </c>
      <c r="N83" s="19">
        <v>99.3925</v>
      </c>
      <c r="O83" s="19">
        <v>90.9427</v>
      </c>
      <c r="P83" s="19">
        <v>93.9734</v>
      </c>
      <c r="Q83" s="19">
        <v>99.1003</v>
      </c>
      <c r="R83" s="19">
        <v>100.86</v>
      </c>
      <c r="S83" s="19">
        <v>100.172</v>
      </c>
      <c r="T83" s="19">
        <v>100.223</v>
      </c>
      <c r="U83" s="19">
        <v>98.919</v>
      </c>
      <c r="V83" s="19">
        <v>94.3254</v>
      </c>
      <c r="W83" s="19">
        <v>88.4116</v>
      </c>
      <c r="X83" s="19">
        <v>93.7851</v>
      </c>
      <c r="Y83" s="19">
        <v>91.6325</v>
      </c>
      <c r="Z83" s="19">
        <v>89.7899</v>
      </c>
      <c r="AA83" s="19">
        <v>87.0602</v>
      </c>
      <c r="AB83" s="21">
        <f>MAX(K83:AA83)</f>
        <v>100.86</v>
      </c>
    </row>
    <row r="84" s="1" customFormat="1" ht="20" hidden="1" customHeight="1" spans="1:27">
      <c r="A84" s="15"/>
      <c r="B84" s="16"/>
      <c r="C84" s="17" t="s">
        <v>39</v>
      </c>
      <c r="D84" s="19">
        <f t="shared" ref="D84:AA84" si="26">D82-D83</f>
        <v>0.744199999999992</v>
      </c>
      <c r="E84" s="19">
        <f t="shared" si="26"/>
        <v>-1.08030000000001</v>
      </c>
      <c r="F84" s="19">
        <f t="shared" si="26"/>
        <v>-0.315399999999997</v>
      </c>
      <c r="G84" s="19">
        <f t="shared" si="26"/>
        <v>-0.670699999999997</v>
      </c>
      <c r="H84" s="19">
        <f t="shared" si="26"/>
        <v>-1.0942</v>
      </c>
      <c r="I84" s="19">
        <f t="shared" si="26"/>
        <v>0.6374</v>
      </c>
      <c r="J84" s="19">
        <f t="shared" si="26"/>
        <v>-0.0825999999999993</v>
      </c>
      <c r="K84" s="19">
        <f t="shared" si="26"/>
        <v>-2.3284</v>
      </c>
      <c r="L84" s="19">
        <f t="shared" si="26"/>
        <v>-1.53370000000001</v>
      </c>
      <c r="M84" s="19">
        <f t="shared" si="26"/>
        <v>-2.7719</v>
      </c>
      <c r="N84" s="19">
        <f t="shared" si="26"/>
        <v>-3.6825</v>
      </c>
      <c r="O84" s="19">
        <f t="shared" si="26"/>
        <v>1.3873</v>
      </c>
      <c r="P84" s="19">
        <f t="shared" si="26"/>
        <v>-3.5634</v>
      </c>
      <c r="Q84" s="19">
        <f t="shared" si="26"/>
        <v>-1.7903</v>
      </c>
      <c r="R84" s="19">
        <f t="shared" si="26"/>
        <v>-2.53</v>
      </c>
      <c r="S84" s="19">
        <f t="shared" si="26"/>
        <v>-3.762</v>
      </c>
      <c r="T84" s="19">
        <f t="shared" si="26"/>
        <v>-2.60299999999999</v>
      </c>
      <c r="U84" s="19">
        <f t="shared" si="26"/>
        <v>-1.369</v>
      </c>
      <c r="V84" s="19">
        <f t="shared" si="26"/>
        <v>-1.8854</v>
      </c>
      <c r="W84" s="19">
        <f t="shared" si="26"/>
        <v>1.19839999999999</v>
      </c>
      <c r="X84" s="19">
        <f t="shared" si="26"/>
        <v>-1.1251</v>
      </c>
      <c r="Y84" s="19">
        <f t="shared" si="26"/>
        <v>1.69750000000001</v>
      </c>
      <c r="Z84" s="19">
        <f t="shared" si="26"/>
        <v>3.09009999999999</v>
      </c>
      <c r="AA84" s="19">
        <f t="shared" si="26"/>
        <v>0.55980000000001</v>
      </c>
    </row>
    <row r="85" s="1" customFormat="1" ht="14.25" hidden="1" spans="1:27">
      <c r="A85" s="15">
        <v>46050</v>
      </c>
      <c r="B85" s="16">
        <v>4303121811816</v>
      </c>
      <c r="C85" s="17" t="s">
        <v>37</v>
      </c>
      <c r="D85" s="20">
        <v>86.58</v>
      </c>
      <c r="E85" s="20">
        <v>89.71</v>
      </c>
      <c r="F85" s="20">
        <v>90.75</v>
      </c>
      <c r="G85" s="20">
        <v>90.66</v>
      </c>
      <c r="H85" s="20">
        <v>90.77</v>
      </c>
      <c r="I85" s="20">
        <v>89.58</v>
      </c>
      <c r="J85" s="20">
        <v>87.91</v>
      </c>
      <c r="K85" s="20">
        <v>87.66</v>
      </c>
      <c r="L85" s="20">
        <v>97.58</v>
      </c>
      <c r="M85" s="20">
        <v>96.54</v>
      </c>
      <c r="N85" s="20">
        <v>95.81</v>
      </c>
      <c r="O85" s="20">
        <v>92.55</v>
      </c>
      <c r="P85" s="20">
        <v>90.55</v>
      </c>
      <c r="Q85" s="20">
        <v>97.44</v>
      </c>
      <c r="R85" s="20">
        <v>98.55</v>
      </c>
      <c r="S85" s="20">
        <v>96.61</v>
      </c>
      <c r="T85" s="20">
        <v>97.85</v>
      </c>
      <c r="U85" s="20">
        <v>97.62</v>
      </c>
      <c r="V85" s="20">
        <v>92.31</v>
      </c>
      <c r="W85" s="20">
        <v>89.55</v>
      </c>
      <c r="X85" s="20">
        <v>92.58</v>
      </c>
      <c r="Y85" s="20">
        <v>93.51</v>
      </c>
      <c r="Z85" s="20">
        <v>93.11</v>
      </c>
      <c r="AA85" s="20">
        <v>87.54</v>
      </c>
    </row>
    <row r="86" s="1" customFormat="1" ht="14.25" spans="1:28">
      <c r="A86" s="15"/>
      <c r="B86" s="16"/>
      <c r="C86" s="17" t="s">
        <v>38</v>
      </c>
      <c r="D86" s="20">
        <v>86.1696</v>
      </c>
      <c r="E86" s="20">
        <v>91.2666</v>
      </c>
      <c r="F86" s="20">
        <v>90.1173</v>
      </c>
      <c r="G86" s="20">
        <v>90.6717</v>
      </c>
      <c r="H86" s="20">
        <v>90.4752</v>
      </c>
      <c r="I86" s="20">
        <v>90.3654</v>
      </c>
      <c r="J86" s="20">
        <v>88.7462</v>
      </c>
      <c r="K86" s="20">
        <v>89.914</v>
      </c>
      <c r="L86" s="20">
        <v>99.183</v>
      </c>
      <c r="M86" s="20">
        <v>98.0866</v>
      </c>
      <c r="N86" s="20">
        <v>90.0821</v>
      </c>
      <c r="O86" s="20">
        <v>86.637</v>
      </c>
      <c r="P86" s="20">
        <v>86.7363</v>
      </c>
      <c r="Q86" s="20">
        <v>89.8181</v>
      </c>
      <c r="R86" s="20">
        <v>92.1149</v>
      </c>
      <c r="S86" s="20">
        <v>95.5856</v>
      </c>
      <c r="T86" s="20">
        <v>99.521</v>
      </c>
      <c r="U86" s="20">
        <v>98.4966</v>
      </c>
      <c r="V86" s="20">
        <v>94.9626</v>
      </c>
      <c r="W86" s="20">
        <v>90.3144</v>
      </c>
      <c r="X86" s="20">
        <v>95.9957</v>
      </c>
      <c r="Y86" s="20">
        <v>94.6194</v>
      </c>
      <c r="Z86" s="20">
        <v>93.8978</v>
      </c>
      <c r="AA86" s="20">
        <v>89.0754</v>
      </c>
      <c r="AB86" s="21">
        <f>MAX(K86:AA86)</f>
        <v>99.521</v>
      </c>
    </row>
    <row r="87" s="1" customFormat="1" ht="20" hidden="1" customHeight="1" spans="1:27">
      <c r="A87" s="15"/>
      <c r="B87" s="16"/>
      <c r="C87" s="17" t="s">
        <v>39</v>
      </c>
      <c r="D87" s="20">
        <f t="shared" ref="D87:AA87" si="27">D85-D86</f>
        <v>0.410399999999996</v>
      </c>
      <c r="E87" s="20">
        <f t="shared" si="27"/>
        <v>-1.5566</v>
      </c>
      <c r="F87" s="20">
        <f t="shared" si="27"/>
        <v>0.6327</v>
      </c>
      <c r="G87" s="20">
        <f t="shared" si="27"/>
        <v>-0.0117000000000047</v>
      </c>
      <c r="H87" s="20">
        <f t="shared" si="27"/>
        <v>0.294799999999995</v>
      </c>
      <c r="I87" s="20">
        <f t="shared" si="27"/>
        <v>-0.785399999999996</v>
      </c>
      <c r="J87" s="20">
        <f t="shared" si="27"/>
        <v>-0.836200000000005</v>
      </c>
      <c r="K87" s="20">
        <f t="shared" si="27"/>
        <v>-2.254</v>
      </c>
      <c r="L87" s="20">
        <f t="shared" si="27"/>
        <v>-1.60300000000001</v>
      </c>
      <c r="M87" s="20">
        <f t="shared" si="27"/>
        <v>-1.5466</v>
      </c>
      <c r="N87" s="20">
        <f t="shared" si="27"/>
        <v>5.72790000000001</v>
      </c>
      <c r="O87" s="20">
        <f t="shared" si="27"/>
        <v>5.913</v>
      </c>
      <c r="P87" s="20">
        <f t="shared" si="27"/>
        <v>3.8137</v>
      </c>
      <c r="Q87" s="20">
        <f t="shared" si="27"/>
        <v>7.6219</v>
      </c>
      <c r="R87" s="20">
        <f t="shared" si="27"/>
        <v>6.43509999999999</v>
      </c>
      <c r="S87" s="20">
        <f t="shared" si="27"/>
        <v>1.0244</v>
      </c>
      <c r="T87" s="20">
        <f t="shared" si="27"/>
        <v>-1.67100000000001</v>
      </c>
      <c r="U87" s="20">
        <f t="shared" si="27"/>
        <v>-0.876599999999996</v>
      </c>
      <c r="V87" s="20">
        <f t="shared" si="27"/>
        <v>-2.65259999999999</v>
      </c>
      <c r="W87" s="20">
        <f t="shared" si="27"/>
        <v>-0.764400000000009</v>
      </c>
      <c r="X87" s="20">
        <f t="shared" si="27"/>
        <v>-3.4157</v>
      </c>
      <c r="Y87" s="20">
        <f t="shared" si="27"/>
        <v>-1.10939999999999</v>
      </c>
      <c r="Z87" s="20">
        <f t="shared" si="27"/>
        <v>-0.787800000000004</v>
      </c>
      <c r="AA87" s="20">
        <f t="shared" si="27"/>
        <v>-1.5354</v>
      </c>
    </row>
    <row r="88" s="1" customFormat="1" ht="20" hidden="1" customHeight="1" spans="1:27">
      <c r="A88" s="15">
        <v>46051</v>
      </c>
      <c r="B88" s="16">
        <v>4303121811816</v>
      </c>
      <c r="C88" s="17" t="s">
        <v>37</v>
      </c>
      <c r="D88" s="19">
        <v>93.22</v>
      </c>
      <c r="E88" s="19">
        <v>96.58</v>
      </c>
      <c r="F88" s="19">
        <v>95.66</v>
      </c>
      <c r="G88" s="19">
        <v>95.45</v>
      </c>
      <c r="H88" s="19">
        <v>95.31</v>
      </c>
      <c r="I88" s="19">
        <v>94.22</v>
      </c>
      <c r="J88" s="19">
        <v>91.85</v>
      </c>
      <c r="K88" s="19">
        <v>92.67</v>
      </c>
      <c r="L88" s="19">
        <v>99.58</v>
      </c>
      <c r="M88" s="19">
        <v>98.58</v>
      </c>
      <c r="N88" s="19">
        <v>96.22</v>
      </c>
      <c r="O88" s="19">
        <v>90.54</v>
      </c>
      <c r="P88" s="19">
        <v>89.36</v>
      </c>
      <c r="Q88" s="19">
        <v>95.71</v>
      </c>
      <c r="R88" s="19">
        <v>98.98</v>
      </c>
      <c r="S88" s="19">
        <v>99.54</v>
      </c>
      <c r="T88" s="19">
        <v>100.55</v>
      </c>
      <c r="U88" s="19">
        <v>100.25</v>
      </c>
      <c r="V88" s="19">
        <v>96.55</v>
      </c>
      <c r="W88" s="19">
        <v>91.89</v>
      </c>
      <c r="X88" s="19">
        <v>99.58</v>
      </c>
      <c r="Y88" s="19">
        <v>99.44</v>
      </c>
      <c r="Z88" s="19">
        <v>98.21</v>
      </c>
      <c r="AA88" s="19">
        <v>93.82</v>
      </c>
    </row>
    <row r="89" s="1" customFormat="1" ht="20" customHeight="1" spans="1:28">
      <c r="A89" s="15"/>
      <c r="B89" s="16"/>
      <c r="C89" s="17" t="s">
        <v>38</v>
      </c>
      <c r="D89" s="19">
        <v>88.7269</v>
      </c>
      <c r="E89" s="19">
        <v>93.3582</v>
      </c>
      <c r="F89" s="19">
        <v>93.0064</v>
      </c>
      <c r="G89" s="19">
        <v>93.3187</v>
      </c>
      <c r="H89" s="19">
        <v>92.8947</v>
      </c>
      <c r="I89" s="19">
        <v>91.6309</v>
      </c>
      <c r="J89" s="19">
        <v>90.5467</v>
      </c>
      <c r="K89" s="19">
        <v>92.7533</v>
      </c>
      <c r="L89" s="19">
        <v>99.5509</v>
      </c>
      <c r="M89" s="19">
        <v>102.26</v>
      </c>
      <c r="N89" s="19">
        <v>99.5386</v>
      </c>
      <c r="O89" s="19">
        <v>94.9555</v>
      </c>
      <c r="P89" s="19">
        <v>94.2548</v>
      </c>
      <c r="Q89" s="19">
        <v>98.2186</v>
      </c>
      <c r="R89" s="19">
        <v>97.115</v>
      </c>
      <c r="S89" s="19">
        <v>101.71</v>
      </c>
      <c r="T89" s="19">
        <v>99.5033</v>
      </c>
      <c r="U89" s="19">
        <v>100.844</v>
      </c>
      <c r="V89" s="19">
        <v>95.1579</v>
      </c>
      <c r="W89" s="19">
        <v>91.7171</v>
      </c>
      <c r="X89" s="19">
        <v>94.3554</v>
      </c>
      <c r="Y89" s="19">
        <v>94.3307</v>
      </c>
      <c r="Z89" s="19">
        <v>94.2603</v>
      </c>
      <c r="AA89" s="19">
        <v>89.371</v>
      </c>
      <c r="AB89" s="21">
        <f>MAX(K89:AA89)</f>
        <v>102.26</v>
      </c>
    </row>
    <row r="90" s="1" customFormat="1" ht="20" hidden="1" customHeight="1" spans="1:27">
      <c r="A90" s="15"/>
      <c r="B90" s="16"/>
      <c r="C90" s="17" t="s">
        <v>39</v>
      </c>
      <c r="D90" s="19">
        <f t="shared" ref="D90:AA90" si="28">D88-D89</f>
        <v>4.4931</v>
      </c>
      <c r="E90" s="19">
        <f t="shared" si="28"/>
        <v>3.2218</v>
      </c>
      <c r="F90" s="19">
        <f t="shared" si="28"/>
        <v>2.6536</v>
      </c>
      <c r="G90" s="19">
        <f t="shared" si="28"/>
        <v>2.1313</v>
      </c>
      <c r="H90" s="19">
        <f t="shared" si="28"/>
        <v>2.4153</v>
      </c>
      <c r="I90" s="19">
        <f t="shared" si="28"/>
        <v>2.5891</v>
      </c>
      <c r="J90" s="19">
        <f t="shared" si="28"/>
        <v>1.30329999999999</v>
      </c>
      <c r="K90" s="19">
        <f t="shared" si="28"/>
        <v>-0.0832999999999942</v>
      </c>
      <c r="L90" s="19">
        <f t="shared" si="28"/>
        <v>0.0290999999999997</v>
      </c>
      <c r="M90" s="19">
        <f t="shared" si="28"/>
        <v>-3.68000000000001</v>
      </c>
      <c r="N90" s="19">
        <f t="shared" si="28"/>
        <v>-3.3186</v>
      </c>
      <c r="O90" s="19">
        <f t="shared" si="28"/>
        <v>-4.41549999999999</v>
      </c>
      <c r="P90" s="19">
        <f t="shared" si="28"/>
        <v>-4.8948</v>
      </c>
      <c r="Q90" s="19">
        <f t="shared" si="28"/>
        <v>-2.5086</v>
      </c>
      <c r="R90" s="19">
        <f t="shared" si="28"/>
        <v>1.86500000000001</v>
      </c>
      <c r="S90" s="19">
        <f t="shared" si="28"/>
        <v>-2.16999999999999</v>
      </c>
      <c r="T90" s="19">
        <f t="shared" si="28"/>
        <v>1.0467</v>
      </c>
      <c r="U90" s="19">
        <f t="shared" si="28"/>
        <v>-0.593999999999994</v>
      </c>
      <c r="V90" s="19">
        <f t="shared" si="28"/>
        <v>1.3921</v>
      </c>
      <c r="W90" s="19">
        <f t="shared" si="28"/>
        <v>0.172899999999998</v>
      </c>
      <c r="X90" s="19">
        <f t="shared" si="28"/>
        <v>5.2246</v>
      </c>
      <c r="Y90" s="19">
        <f t="shared" si="28"/>
        <v>5.1093</v>
      </c>
      <c r="Z90" s="19">
        <f t="shared" si="28"/>
        <v>3.94969999999999</v>
      </c>
      <c r="AA90" s="19">
        <f t="shared" si="28"/>
        <v>4.449</v>
      </c>
    </row>
    <row r="91" s="1" customFormat="1" ht="20" hidden="1" customHeight="1" spans="1:27">
      <c r="A91" s="15">
        <v>46052</v>
      </c>
      <c r="B91" s="16">
        <v>4303121811816</v>
      </c>
      <c r="C91" s="17" t="s">
        <v>37</v>
      </c>
      <c r="D91" s="20">
        <v>93.31</v>
      </c>
      <c r="E91" s="20">
        <v>96.55</v>
      </c>
      <c r="F91" s="20">
        <v>95.71</v>
      </c>
      <c r="G91" s="20">
        <v>95.44</v>
      </c>
      <c r="H91" s="20">
        <v>95.28</v>
      </c>
      <c r="I91" s="20">
        <v>94.31</v>
      </c>
      <c r="J91" s="20">
        <v>91.66</v>
      </c>
      <c r="K91" s="20">
        <v>92.58</v>
      </c>
      <c r="L91" s="20">
        <v>99.72</v>
      </c>
      <c r="M91" s="20">
        <v>98.61</v>
      </c>
      <c r="N91" s="20">
        <v>96.33</v>
      </c>
      <c r="O91" s="20">
        <v>90.68</v>
      </c>
      <c r="P91" s="20">
        <v>89.42</v>
      </c>
      <c r="Q91" s="20">
        <v>95.88</v>
      </c>
      <c r="R91" s="20">
        <v>98.79</v>
      </c>
      <c r="S91" s="20">
        <v>99.45</v>
      </c>
      <c r="T91" s="20">
        <v>99.88</v>
      </c>
      <c r="U91" s="20">
        <v>99.85</v>
      </c>
      <c r="V91" s="20">
        <v>96.48</v>
      </c>
      <c r="W91" s="20">
        <v>91.92</v>
      </c>
      <c r="X91" s="20">
        <v>99.55</v>
      </c>
      <c r="Y91" s="20">
        <v>99.54</v>
      </c>
      <c r="Z91" s="20">
        <v>98.22</v>
      </c>
      <c r="AA91" s="20">
        <v>92.99</v>
      </c>
    </row>
    <row r="92" s="1" customFormat="1" ht="20" customHeight="1" spans="1:28">
      <c r="A92" s="15"/>
      <c r="B92" s="16"/>
      <c r="C92" s="17" t="s">
        <v>38</v>
      </c>
      <c r="D92" s="20">
        <v>90.1296</v>
      </c>
      <c r="E92" s="20">
        <v>94.0245</v>
      </c>
      <c r="F92" s="20">
        <v>92.9333</v>
      </c>
      <c r="G92" s="20">
        <v>93.2765</v>
      </c>
      <c r="H92" s="20">
        <v>93.1152</v>
      </c>
      <c r="I92" s="20">
        <v>93.0266</v>
      </c>
      <c r="J92" s="20">
        <v>93.6197</v>
      </c>
      <c r="K92" s="20">
        <v>93.3856</v>
      </c>
      <c r="L92" s="20">
        <v>102.81</v>
      </c>
      <c r="M92" s="20">
        <v>103.613</v>
      </c>
      <c r="N92" s="20">
        <v>104.343</v>
      </c>
      <c r="O92" s="20">
        <v>97.6184</v>
      </c>
      <c r="P92" s="20">
        <v>97.8754</v>
      </c>
      <c r="Q92" s="20">
        <v>102.038</v>
      </c>
      <c r="R92" s="20">
        <v>104.335</v>
      </c>
      <c r="S92" s="20">
        <v>105.153</v>
      </c>
      <c r="T92" s="20">
        <v>105.398</v>
      </c>
      <c r="U92" s="20">
        <v>103.71</v>
      </c>
      <c r="V92" s="20">
        <v>99.9205</v>
      </c>
      <c r="W92" s="20">
        <v>94.7478</v>
      </c>
      <c r="X92" s="20">
        <v>97.6026</v>
      </c>
      <c r="Y92" s="20">
        <v>95.3163</v>
      </c>
      <c r="Z92" s="20">
        <v>94.0562</v>
      </c>
      <c r="AA92" s="20">
        <v>91.4883</v>
      </c>
      <c r="AB92" s="21">
        <f>MAX(K92:AA92)</f>
        <v>105.398</v>
      </c>
    </row>
    <row r="93" s="1" customFormat="1" ht="20" hidden="1" customHeight="1" spans="1:27">
      <c r="A93" s="15"/>
      <c r="B93" s="16"/>
      <c r="C93" s="17" t="s">
        <v>39</v>
      </c>
      <c r="D93" s="20">
        <f t="shared" ref="D93:AA93" si="29">D91-D92</f>
        <v>3.18040000000001</v>
      </c>
      <c r="E93" s="20">
        <f t="shared" si="29"/>
        <v>2.52549999999999</v>
      </c>
      <c r="F93" s="20">
        <f t="shared" si="29"/>
        <v>2.77669999999999</v>
      </c>
      <c r="G93" s="20">
        <f t="shared" si="29"/>
        <v>2.1635</v>
      </c>
      <c r="H93" s="20">
        <f t="shared" si="29"/>
        <v>2.1648</v>
      </c>
      <c r="I93" s="20">
        <f t="shared" si="29"/>
        <v>1.2834</v>
      </c>
      <c r="J93" s="20">
        <f t="shared" si="29"/>
        <v>-1.9597</v>
      </c>
      <c r="K93" s="20">
        <f t="shared" si="29"/>
        <v>-0.805599999999998</v>
      </c>
      <c r="L93" s="20">
        <f t="shared" si="29"/>
        <v>-3.09</v>
      </c>
      <c r="M93" s="20">
        <f t="shared" si="29"/>
        <v>-5.003</v>
      </c>
      <c r="N93" s="20">
        <f t="shared" si="29"/>
        <v>-8.01300000000001</v>
      </c>
      <c r="O93" s="20">
        <f t="shared" si="29"/>
        <v>-6.93839999999999</v>
      </c>
      <c r="P93" s="20">
        <f t="shared" si="29"/>
        <v>-8.4554</v>
      </c>
      <c r="Q93" s="20">
        <f t="shared" si="29"/>
        <v>-6.158</v>
      </c>
      <c r="R93" s="20">
        <f t="shared" si="29"/>
        <v>-5.54499999999999</v>
      </c>
      <c r="S93" s="20">
        <f t="shared" si="29"/>
        <v>-5.703</v>
      </c>
      <c r="T93" s="20">
        <f t="shared" si="29"/>
        <v>-5.518</v>
      </c>
      <c r="U93" s="20">
        <f t="shared" si="29"/>
        <v>-3.86</v>
      </c>
      <c r="V93" s="20">
        <f t="shared" si="29"/>
        <v>-3.4405</v>
      </c>
      <c r="W93" s="20">
        <f t="shared" si="29"/>
        <v>-2.8278</v>
      </c>
      <c r="X93" s="20">
        <f t="shared" si="29"/>
        <v>1.9474</v>
      </c>
      <c r="Y93" s="20">
        <f t="shared" si="29"/>
        <v>4.22370000000001</v>
      </c>
      <c r="Z93" s="20">
        <f t="shared" si="29"/>
        <v>4.16379999999999</v>
      </c>
      <c r="AA93" s="20">
        <f t="shared" si="29"/>
        <v>1.5017</v>
      </c>
    </row>
    <row r="94" s="1" customFormat="1" ht="20" hidden="1" customHeight="1" spans="1:27">
      <c r="A94" s="15">
        <v>46053</v>
      </c>
      <c r="B94" s="16">
        <v>4303121811816</v>
      </c>
      <c r="C94" s="17" t="s">
        <v>37</v>
      </c>
      <c r="D94" s="20">
        <v>93.33</v>
      </c>
      <c r="E94" s="20">
        <v>96.58</v>
      </c>
      <c r="F94" s="20">
        <v>95.66</v>
      </c>
      <c r="G94" s="20">
        <v>95.41</v>
      </c>
      <c r="H94" s="20">
        <v>95.31</v>
      </c>
      <c r="I94" s="20">
        <v>94.28</v>
      </c>
      <c r="J94" s="20">
        <v>91.58</v>
      </c>
      <c r="K94" s="20">
        <v>92.62</v>
      </c>
      <c r="L94" s="20">
        <v>99.66</v>
      </c>
      <c r="M94" s="20">
        <v>98.71</v>
      </c>
      <c r="N94" s="20">
        <v>96.41</v>
      </c>
      <c r="O94" s="20">
        <v>90.58</v>
      </c>
      <c r="P94" s="20">
        <v>89.35</v>
      </c>
      <c r="Q94" s="20">
        <v>95.72</v>
      </c>
      <c r="R94" s="20">
        <v>98.66</v>
      </c>
      <c r="S94" s="20">
        <v>99.55</v>
      </c>
      <c r="T94" s="20">
        <v>99.76</v>
      </c>
      <c r="U94" s="20">
        <v>99.82</v>
      </c>
      <c r="V94" s="20">
        <v>96.33</v>
      </c>
      <c r="W94" s="20">
        <v>91.58</v>
      </c>
      <c r="X94" s="20">
        <v>99.65</v>
      </c>
      <c r="Y94" s="20">
        <v>99.71</v>
      </c>
      <c r="Z94" s="20">
        <v>98.32</v>
      </c>
      <c r="AA94" s="20">
        <v>92.87</v>
      </c>
    </row>
    <row r="95" s="1" customFormat="1" ht="20" customHeight="1" spans="1:28">
      <c r="A95" s="15"/>
      <c r="B95" s="16"/>
      <c r="C95" s="17" t="s">
        <v>38</v>
      </c>
      <c r="D95" s="20">
        <v>90.6488</v>
      </c>
      <c r="E95" s="20">
        <v>94.6229</v>
      </c>
      <c r="F95" s="20">
        <v>94.4099</v>
      </c>
      <c r="G95" s="20">
        <v>95.5952</v>
      </c>
      <c r="H95" s="20">
        <v>94.7725</v>
      </c>
      <c r="I95" s="20">
        <v>93.8309</v>
      </c>
      <c r="J95" s="20">
        <v>91.601</v>
      </c>
      <c r="K95" s="20">
        <v>93.8414</v>
      </c>
      <c r="L95" s="20">
        <v>102.705</v>
      </c>
      <c r="M95" s="20">
        <v>101.476</v>
      </c>
      <c r="N95" s="20">
        <v>100.357</v>
      </c>
      <c r="O95" s="20">
        <v>94.5754</v>
      </c>
      <c r="P95" s="20">
        <v>94.2322</v>
      </c>
      <c r="Q95" s="20">
        <v>99.6706</v>
      </c>
      <c r="R95" s="20">
        <v>101.075</v>
      </c>
      <c r="S95" s="20">
        <v>103.536</v>
      </c>
      <c r="T95" s="20">
        <v>101.853</v>
      </c>
      <c r="U95" s="20">
        <v>99.8606</v>
      </c>
      <c r="V95" s="20">
        <v>93.5568</v>
      </c>
      <c r="W95" s="20">
        <v>92.4405</v>
      </c>
      <c r="X95" s="20">
        <v>95.3691</v>
      </c>
      <c r="Y95" s="20">
        <v>95.8549</v>
      </c>
      <c r="Z95" s="20">
        <v>94.0034</v>
      </c>
      <c r="AA95" s="20">
        <v>91.7734</v>
      </c>
      <c r="AB95" s="21">
        <f>MAX(K95:AA95)</f>
        <v>103.536</v>
      </c>
    </row>
    <row r="96" s="1" customFormat="1" ht="20" hidden="1" customHeight="1" spans="1:27">
      <c r="A96" s="15"/>
      <c r="B96" s="16"/>
      <c r="C96" s="17" t="s">
        <v>39</v>
      </c>
      <c r="D96" s="20">
        <f t="shared" ref="D96:AA96" si="30">D94-D95</f>
        <v>2.6812</v>
      </c>
      <c r="E96" s="20">
        <f t="shared" si="30"/>
        <v>1.9571</v>
      </c>
      <c r="F96" s="20">
        <f t="shared" si="30"/>
        <v>1.2501</v>
      </c>
      <c r="G96" s="20">
        <f t="shared" si="30"/>
        <v>-0.185200000000009</v>
      </c>
      <c r="H96" s="20">
        <f t="shared" si="30"/>
        <v>0.537500000000009</v>
      </c>
      <c r="I96" s="20">
        <f t="shared" si="30"/>
        <v>0.449100000000001</v>
      </c>
      <c r="J96" s="20">
        <f t="shared" si="30"/>
        <v>-0.0210000000000008</v>
      </c>
      <c r="K96" s="20">
        <f t="shared" si="30"/>
        <v>-1.22139999999999</v>
      </c>
      <c r="L96" s="20">
        <f t="shared" si="30"/>
        <v>-3.045</v>
      </c>
      <c r="M96" s="20">
        <f t="shared" si="30"/>
        <v>-2.76600000000001</v>
      </c>
      <c r="N96" s="20">
        <f t="shared" si="30"/>
        <v>-3.947</v>
      </c>
      <c r="O96" s="20">
        <f t="shared" si="30"/>
        <v>-3.9954</v>
      </c>
      <c r="P96" s="20">
        <f t="shared" si="30"/>
        <v>-4.88220000000001</v>
      </c>
      <c r="Q96" s="20">
        <f t="shared" si="30"/>
        <v>-3.95059999999999</v>
      </c>
      <c r="R96" s="20">
        <f t="shared" si="30"/>
        <v>-2.41500000000001</v>
      </c>
      <c r="S96" s="20">
        <f t="shared" si="30"/>
        <v>-3.986</v>
      </c>
      <c r="T96" s="20">
        <f t="shared" si="30"/>
        <v>-2.09299999999999</v>
      </c>
      <c r="U96" s="20">
        <f t="shared" si="30"/>
        <v>-0.040600000000012</v>
      </c>
      <c r="V96" s="20">
        <f t="shared" si="30"/>
        <v>2.7732</v>
      </c>
      <c r="W96" s="20">
        <f t="shared" si="30"/>
        <v>-0.860500000000002</v>
      </c>
      <c r="X96" s="20">
        <f t="shared" si="30"/>
        <v>4.2809</v>
      </c>
      <c r="Y96" s="20">
        <f t="shared" si="30"/>
        <v>3.85509999999999</v>
      </c>
      <c r="Z96" s="20">
        <f t="shared" si="30"/>
        <v>4.31659999999999</v>
      </c>
      <c r="AA96" s="20">
        <f t="shared" si="30"/>
        <v>1.09660000000001</v>
      </c>
    </row>
    <row r="97" s="1" customFormat="1" ht="20" customHeight="1" spans="1:28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1"/>
    </row>
    <row r="98" s="1" customFormat="1" ht="20" customHeight="1" spans="1:28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1"/>
    </row>
    <row r="99" s="1" customFormat="1" ht="20" customHeight="1" spans="1:28">
      <c r="A99" s="26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1"/>
    </row>
    <row r="100" s="1" customFormat="1" ht="20" customHeight="1" spans="1:28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1"/>
    </row>
    <row r="101" s="1" customFormat="1" ht="20" customHeight="1" spans="1:28">
      <c r="A101" s="26"/>
      <c r="B101" s="26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1"/>
    </row>
    <row r="102" s="1" customFormat="1" ht="20" customHeight="1" spans="1:28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1"/>
    </row>
    <row r="103" s="1" customFormat="1" ht="20" customHeight="1" spans="1:28">
      <c r="A103" s="26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1"/>
    </row>
    <row r="104" s="1" customFormat="1" ht="20" customHeight="1" spans="1:28">
      <c r="A104" s="26"/>
      <c r="B104" s="28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1"/>
    </row>
    <row r="105" s="1" customFormat="1" ht="14.25" spans="1:28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1"/>
    </row>
    <row r="106" s="1" customFormat="1" ht="14.25" spans="1:28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1"/>
    </row>
    <row r="107" s="1" customFormat="1" ht="20" customHeight="1" spans="1:28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1"/>
    </row>
    <row r="108" s="1" customFormat="1" ht="20" customHeight="1" spans="1:28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1"/>
    </row>
    <row r="109" s="1" customFormat="1" ht="20" customHeight="1" spans="1:28">
      <c r="A109" s="26"/>
      <c r="B109" s="26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1"/>
    </row>
    <row r="110" s="1" customFormat="1" ht="20" customHeight="1" spans="1:28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1"/>
    </row>
    <row r="111" s="1" customFormat="1" ht="20" customHeight="1" spans="1:28">
      <c r="A111" s="26"/>
      <c r="B111" s="26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1"/>
    </row>
    <row r="112" s="1" customFormat="1" ht="20" customHeight="1" spans="1:28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1"/>
    </row>
    <row r="113" s="1" customFormat="1" ht="20" customHeight="1" spans="1:28">
      <c r="A113" s="26"/>
      <c r="B113" s="26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1"/>
    </row>
    <row r="114" s="1" customFormat="1" ht="20" customHeight="1" spans="1:28">
      <c r="A114" s="26"/>
      <c r="B114" s="28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1"/>
    </row>
    <row r="115" s="1" customFormat="1" ht="14.25" spans="1:28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1"/>
    </row>
    <row r="116" s="1" customFormat="1" ht="14.25" spans="1:28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1"/>
    </row>
    <row r="117" s="1" customFormat="1" ht="20" customHeight="1" spans="1:28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1"/>
    </row>
    <row r="118" s="1" customFormat="1" ht="20" customHeight="1" spans="1:28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1"/>
    </row>
    <row r="119" s="1" customFormat="1" ht="20" customHeight="1" spans="1:28">
      <c r="A119" s="26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1"/>
    </row>
    <row r="120" s="1" customFormat="1" ht="20" customHeight="1" spans="1:28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1"/>
    </row>
    <row r="121" s="1" customFormat="1" ht="20" customHeight="1" spans="1:28">
      <c r="A121" s="26"/>
      <c r="B121" s="26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1"/>
    </row>
    <row r="122" s="1" customFormat="1" ht="20" customHeight="1" spans="1:28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1"/>
    </row>
    <row r="123" s="1" customFormat="1" ht="20" customHeight="1" spans="1:28">
      <c r="A123" s="26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1"/>
    </row>
    <row r="124" s="1" customFormat="1" ht="20" customHeight="1" spans="1:28">
      <c r="A124" s="26"/>
      <c r="B124" s="28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1"/>
    </row>
    <row r="125" s="1" customFormat="1" ht="14.25" spans="1:28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1"/>
    </row>
    <row r="126" s="1" customFormat="1" ht="14.25" spans="1:28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1"/>
    </row>
    <row r="127" s="1" customFormat="1" ht="20" customHeight="1" spans="1:28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1"/>
    </row>
    <row r="128" s="1" customFormat="1" ht="20" customHeight="1" spans="1:28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1"/>
    </row>
    <row r="129" s="1" customFormat="1" ht="20" customHeight="1" spans="1:28">
      <c r="A129" s="26"/>
      <c r="B129" s="26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1"/>
    </row>
    <row r="130" s="1" customFormat="1" ht="20" customHeight="1" spans="1:28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1"/>
    </row>
    <row r="131" s="1" customFormat="1" ht="20" customHeight="1" spans="1:28">
      <c r="A131" s="26"/>
      <c r="B131" s="26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1"/>
    </row>
    <row r="132" s="1" customFormat="1" ht="20" customHeight="1" spans="1:28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1"/>
    </row>
    <row r="133" s="1" customFormat="1" ht="20" customHeight="1" spans="1:28">
      <c r="A133" s="26"/>
      <c r="B133" s="26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1"/>
    </row>
    <row r="134" s="1" customFormat="1" ht="20" customHeight="1" spans="1:28">
      <c r="A134" s="26"/>
      <c r="B134" s="28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1"/>
    </row>
    <row r="135" s="1" customFormat="1" ht="14.25" spans="1:28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1"/>
    </row>
    <row r="136" s="1" customFormat="1" ht="14.25" spans="1:28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1"/>
    </row>
    <row r="137" s="1" customFormat="1" ht="20" customHeight="1" spans="1:28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1"/>
    </row>
    <row r="138" s="1" customFormat="1" ht="20" customHeight="1" spans="1:28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1"/>
    </row>
    <row r="139" s="1" customFormat="1" ht="20" customHeight="1" spans="1:28">
      <c r="A139" s="26"/>
      <c r="B139" s="26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1"/>
    </row>
    <row r="140" s="1" customFormat="1" ht="20" customHeight="1" spans="1:28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1"/>
    </row>
    <row r="141" s="1" customFormat="1" ht="20" customHeight="1" spans="1:28">
      <c r="A141" s="26"/>
      <c r="B141" s="26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1"/>
    </row>
    <row r="142" s="1" customFormat="1" ht="20" customHeight="1" spans="1:28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1"/>
    </row>
    <row r="143" s="1" customFormat="1" ht="20" customHeight="1" spans="1:28">
      <c r="A143" s="26"/>
      <c r="B143" s="26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1"/>
    </row>
    <row r="144" s="1" customFormat="1" ht="20" customHeight="1" spans="1:28">
      <c r="A144" s="26"/>
      <c r="B144" s="28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1"/>
    </row>
    <row r="145" s="1" customFormat="1" ht="14.25" spans="1:28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1"/>
    </row>
    <row r="146" s="1" customFormat="1" ht="14.25" spans="1:28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1"/>
    </row>
    <row r="147" s="1" customFormat="1" ht="20" customHeight="1" spans="1:28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1"/>
    </row>
    <row r="148" s="1" customFormat="1" ht="20" customHeight="1" spans="1:28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1"/>
    </row>
    <row r="149" s="1" customFormat="1" ht="20" customHeight="1" spans="1:28">
      <c r="A149" s="26"/>
      <c r="B149" s="26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1"/>
    </row>
    <row r="150" s="1" customFormat="1" ht="20" customHeight="1" spans="1:28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1"/>
    </row>
    <row r="151" s="1" customFormat="1" ht="20" customHeight="1" spans="1:28">
      <c r="A151" s="26"/>
      <c r="B151" s="26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1"/>
    </row>
    <row r="152" s="1" customFormat="1" ht="20" customHeight="1" spans="1:28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1"/>
    </row>
    <row r="153" s="1" customFormat="1" ht="20" customHeight="1" spans="1:28">
      <c r="A153" s="26"/>
      <c r="B153" s="26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1"/>
    </row>
    <row r="154" s="1" customFormat="1" ht="20" customHeight="1" spans="1:28">
      <c r="A154" s="26"/>
      <c r="B154" s="28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1"/>
    </row>
    <row r="155" s="1" customFormat="1" ht="14.25" spans="1:28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1"/>
    </row>
    <row r="156" s="1" customFormat="1" ht="14.25" spans="1:28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1"/>
    </row>
    <row r="157" s="1" customFormat="1" ht="20" customHeight="1" spans="1:28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1"/>
    </row>
    <row r="158" s="1" customFormat="1" ht="20" customHeight="1" spans="1:28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1"/>
    </row>
    <row r="159" s="1" customFormat="1" ht="20" customHeight="1" spans="1:28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1"/>
    </row>
    <row r="160" s="1" customFormat="1" ht="20" customHeight="1" spans="1:28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1"/>
    </row>
    <row r="161" s="1" customFormat="1" ht="20" customHeight="1" spans="1:28">
      <c r="A161" s="26"/>
      <c r="B161" s="26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1"/>
    </row>
    <row r="162" s="1" customFormat="1" ht="20" customHeight="1" spans="1:28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1"/>
    </row>
    <row r="163" s="1" customFormat="1" ht="20" customHeight="1" spans="1:28">
      <c r="A163" s="26"/>
      <c r="B163" s="26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1"/>
    </row>
    <row r="164" s="1" customFormat="1" ht="20" customHeight="1" spans="1:28">
      <c r="A164" s="26"/>
      <c r="B164" s="28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1"/>
    </row>
    <row r="165" s="1" customFormat="1" ht="14.25" spans="1:28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1"/>
    </row>
    <row r="166" s="1" customFormat="1" ht="14.25" spans="1:28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1"/>
    </row>
    <row r="167" s="1" customFormat="1" ht="20" customHeight="1" spans="1:28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1"/>
    </row>
    <row r="168" s="1" customFormat="1" ht="20" customHeight="1" spans="1:28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1"/>
    </row>
    <row r="169" s="1" customFormat="1" ht="20" customHeight="1" spans="1:28">
      <c r="A169" s="26"/>
      <c r="B169" s="26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1"/>
    </row>
    <row r="170" s="1" customFormat="1" ht="20" customHeight="1" spans="1:28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1"/>
    </row>
    <row r="171" s="1" customFormat="1" ht="20" customHeight="1" spans="1:28">
      <c r="A171" s="26"/>
      <c r="B171" s="26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1"/>
    </row>
    <row r="172" s="1" customFormat="1" ht="20" customHeight="1" spans="1:28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1"/>
    </row>
    <row r="173" s="1" customFormat="1" ht="20" customHeight="1" spans="1:28">
      <c r="A173" s="26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1"/>
    </row>
    <row r="174" s="1" customFormat="1" ht="20" customHeight="1" spans="1:28">
      <c r="A174" s="26"/>
      <c r="B174" s="28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1"/>
    </row>
    <row r="175" s="1" customFormat="1" ht="14.25" spans="1:28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1"/>
    </row>
    <row r="176" s="1" customFormat="1" ht="14.25" spans="1:28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1"/>
    </row>
    <row r="177" s="1" customFormat="1" ht="20" customHeight="1" spans="1:28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1"/>
    </row>
    <row r="178" s="1" customFormat="1" ht="20" customHeight="1" spans="1:28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1"/>
    </row>
    <row r="179" s="1" customFormat="1" ht="20" customHeight="1" spans="1:28">
      <c r="A179" s="26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1"/>
    </row>
    <row r="180" s="1" customFormat="1" ht="20" customHeight="1" spans="1:28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1"/>
    </row>
    <row r="181" s="1" customFormat="1" ht="20" customHeight="1" spans="1:28">
      <c r="A181" s="26"/>
      <c r="B181" s="26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1"/>
    </row>
    <row r="182" s="1" customFormat="1" ht="20" customHeight="1" spans="1:28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1"/>
    </row>
    <row r="183" s="1" customFormat="1" ht="20" customHeight="1" spans="1:28">
      <c r="A183" s="26"/>
      <c r="B183" s="26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1"/>
    </row>
    <row r="184" s="1" customFormat="1" ht="20" customHeight="1" spans="1:28">
      <c r="A184" s="26"/>
      <c r="B184" s="28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1"/>
    </row>
    <row r="185" s="1" customFormat="1" ht="14.25" spans="1:28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1"/>
    </row>
    <row r="186" s="1" customFormat="1" ht="14.25" spans="1:28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1"/>
    </row>
    <row r="187" s="1" customFormat="1" ht="20" customHeight="1" spans="1:28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1"/>
    </row>
    <row r="188" s="1" customFormat="1" ht="20" customHeight="1" spans="1:28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1"/>
    </row>
    <row r="189" s="1" customFormat="1" ht="20" customHeight="1" spans="1:28">
      <c r="A189" s="26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1"/>
    </row>
    <row r="190" s="1" customFormat="1" ht="20" customHeight="1" spans="1:28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1"/>
    </row>
    <row r="191" s="1" customFormat="1" ht="20" customHeight="1" spans="1:28">
      <c r="A191" s="26"/>
      <c r="B191" s="26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1"/>
    </row>
    <row r="192" s="1" customFormat="1" ht="20" customHeight="1" spans="1:28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1"/>
    </row>
    <row r="193" s="1" customFormat="1" ht="20" customHeight="1" spans="1:28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1"/>
    </row>
    <row r="194" s="1" customFormat="1" ht="20" customHeight="1" spans="1:28">
      <c r="A194" s="26"/>
      <c r="B194" s="28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1"/>
    </row>
    <row r="195" s="1" customFormat="1" ht="14.25" spans="1:28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1"/>
    </row>
    <row r="196" s="1" customFormat="1" ht="14.25" spans="1:28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1"/>
    </row>
    <row r="197" s="1" customFormat="1" ht="20" customHeight="1" spans="1:28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1"/>
    </row>
    <row r="198" s="1" customFormat="1" ht="20" customHeight="1" spans="1:28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1"/>
    </row>
    <row r="199" s="1" customFormat="1" ht="20" customHeight="1" spans="1:28">
      <c r="A199" s="26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1"/>
    </row>
    <row r="200" s="1" customFormat="1" ht="20" customHeight="1" spans="1:28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1"/>
    </row>
    <row r="201" s="1" customFormat="1" ht="20" customHeight="1" spans="1:28">
      <c r="A201" s="26"/>
      <c r="B201" s="26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1"/>
    </row>
    <row r="202" s="1" customFormat="1" ht="20" customHeight="1" spans="1:28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1"/>
    </row>
    <row r="203" s="1" customFormat="1" ht="20" customHeight="1" spans="1:28">
      <c r="A203" s="26"/>
      <c r="B203" s="26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1"/>
    </row>
    <row r="204" s="1" customFormat="1" ht="20" customHeight="1" spans="1:28">
      <c r="A204" s="26"/>
      <c r="B204" s="28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1"/>
    </row>
    <row r="205" s="1" customFormat="1" ht="14.25" spans="1:28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1"/>
    </row>
    <row r="206" s="1" customFormat="1" ht="14.25" spans="1:28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1"/>
    </row>
    <row r="207" s="1" customFormat="1" ht="20" customHeight="1" spans="1:28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1"/>
    </row>
    <row r="208" s="1" customFormat="1" ht="20" customHeight="1" spans="1:28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1"/>
    </row>
    <row r="209" s="1" customFormat="1" ht="20" customHeight="1" spans="1:28">
      <c r="A209" s="26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1"/>
    </row>
    <row r="210" s="1" customFormat="1" ht="20" customHeight="1" spans="1:28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1"/>
    </row>
    <row r="211" s="1" customFormat="1" ht="20" customHeight="1" spans="1:28">
      <c r="A211" s="26"/>
      <c r="B211" s="26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1"/>
    </row>
    <row r="212" s="1" customFormat="1" ht="20" customHeight="1" spans="1:28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1"/>
    </row>
    <row r="213" s="1" customFormat="1" ht="20" customHeight="1" spans="1:28">
      <c r="A213" s="26"/>
      <c r="B213" s="26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1"/>
    </row>
    <row r="214" s="1" customFormat="1" ht="20" customHeight="1" spans="1:28">
      <c r="A214" s="26"/>
      <c r="B214" s="28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1"/>
    </row>
    <row r="215" s="1" customFormat="1" ht="14.25" spans="1:28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1"/>
    </row>
    <row r="216" s="1" customFormat="1" ht="14.25" spans="1:28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1"/>
    </row>
    <row r="217" s="1" customFormat="1" ht="20" customHeight="1" spans="1:28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1"/>
    </row>
    <row r="218" s="1" customFormat="1" ht="20" customHeight="1" spans="1:28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1"/>
    </row>
    <row r="219" s="1" customFormat="1" ht="20" customHeight="1" spans="1:28">
      <c r="A219" s="26"/>
      <c r="B219" s="26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1"/>
    </row>
    <row r="220" s="1" customFormat="1" ht="20" customHeight="1" spans="1:28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1"/>
    </row>
    <row r="221" s="1" customFormat="1" ht="20" customHeight="1" spans="1:28">
      <c r="A221" s="26"/>
      <c r="B221" s="26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1"/>
    </row>
    <row r="222" s="1" customFormat="1" ht="20" customHeight="1" spans="1:28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1"/>
    </row>
    <row r="223" s="1" customFormat="1" ht="20" customHeight="1" spans="1:28">
      <c r="A223" s="26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1"/>
    </row>
    <row r="224" s="1" customFormat="1" ht="20" customHeight="1" spans="1:28">
      <c r="A224" s="26"/>
      <c r="B224" s="28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1"/>
    </row>
    <row r="225" s="1" customFormat="1" ht="14.25" spans="1:28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1"/>
    </row>
    <row r="226" s="1" customFormat="1" ht="14.25" spans="1:28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1"/>
    </row>
    <row r="227" s="1" customFormat="1" ht="20" customHeight="1" spans="1:28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1"/>
    </row>
    <row r="228" s="1" customFormat="1" ht="20" customHeight="1" spans="1:28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1"/>
    </row>
    <row r="229" s="1" customFormat="1" ht="20" customHeight="1" spans="1:28">
      <c r="A229" s="26"/>
      <c r="B229" s="26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1"/>
    </row>
    <row r="230" s="1" customFormat="1" ht="20" customHeight="1" spans="1:28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1"/>
    </row>
    <row r="231" s="1" customFormat="1" ht="20" customHeight="1" spans="1:28">
      <c r="A231" s="26"/>
      <c r="B231" s="26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1"/>
    </row>
    <row r="232" s="1" customFormat="1" ht="20" customHeight="1" spans="1:28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1"/>
    </row>
    <row r="233" s="1" customFormat="1" ht="20" customHeight="1" spans="1:28">
      <c r="A233" s="26"/>
      <c r="B233" s="26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1"/>
    </row>
    <row r="234" s="1" customFormat="1" ht="20" customHeight="1" spans="1:28">
      <c r="A234" s="26"/>
      <c r="B234" s="28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1"/>
    </row>
    <row r="235" s="1" customFormat="1" ht="14.25" spans="1:28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1"/>
    </row>
    <row r="236" s="1" customFormat="1" ht="14.25" spans="1:28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1"/>
    </row>
    <row r="237" s="1" customFormat="1" ht="20" customHeight="1" spans="1:28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1"/>
    </row>
    <row r="238" s="1" customFormat="1" ht="20" customHeight="1" spans="1:28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1"/>
    </row>
    <row r="239" s="1" customFormat="1" ht="20" customHeight="1" spans="1:28">
      <c r="A239" s="26"/>
      <c r="B239" s="26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1"/>
    </row>
    <row r="240" s="1" customFormat="1" ht="20" customHeight="1" spans="1:28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1"/>
    </row>
    <row r="241" s="1" customFormat="1" ht="20" customHeight="1" spans="1:28">
      <c r="A241" s="26"/>
      <c r="B241" s="26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1"/>
    </row>
    <row r="242" s="1" customFormat="1" ht="20" customHeight="1" spans="1:28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1"/>
    </row>
    <row r="243" s="1" customFormat="1" ht="20" customHeight="1" spans="1:28">
      <c r="A243" s="26"/>
      <c r="B243" s="26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1"/>
    </row>
    <row r="244" s="1" customFormat="1" ht="20" customHeight="1" spans="1:28">
      <c r="A244" s="26"/>
      <c r="B244" s="28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1"/>
    </row>
    <row r="245" s="1" customFormat="1" ht="14.25" spans="1:28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1"/>
    </row>
    <row r="246" s="1" customFormat="1" ht="14.25" spans="1:28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1"/>
    </row>
    <row r="247" s="1" customFormat="1" ht="20" customHeight="1" spans="1:28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1"/>
    </row>
    <row r="248" s="1" customFormat="1" ht="20" customHeight="1" spans="1:28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1"/>
    </row>
    <row r="249" s="1" customFormat="1" ht="20" customHeight="1" spans="1:28">
      <c r="A249" s="26"/>
      <c r="B249" s="26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1"/>
    </row>
    <row r="250" s="1" customFormat="1" ht="20" customHeight="1" spans="1:28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1"/>
    </row>
    <row r="251" s="1" customFormat="1" ht="20" customHeight="1" spans="1:28">
      <c r="A251" s="26"/>
      <c r="B251" s="26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1"/>
    </row>
    <row r="252" s="1" customFormat="1" ht="20" customHeight="1" spans="1:28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1"/>
    </row>
    <row r="253" s="1" customFormat="1" ht="20" customHeight="1" spans="1:28">
      <c r="A253" s="26"/>
      <c r="B253" s="26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1"/>
    </row>
    <row r="254" s="1" customFormat="1" ht="20" customHeight="1" spans="1:28">
      <c r="A254" s="26"/>
      <c r="B254" s="28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1"/>
    </row>
    <row r="255" s="1" customFormat="1" ht="14.25" spans="1:28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1"/>
    </row>
    <row r="256" s="1" customFormat="1" ht="14.25" spans="1:28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1"/>
    </row>
    <row r="257" s="1" customFormat="1" ht="20" customHeight="1" spans="1:28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1"/>
    </row>
    <row r="258" s="1" customFormat="1" ht="20" customHeight="1" spans="1:28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1"/>
    </row>
    <row r="259" s="1" customFormat="1" ht="20" customHeight="1" spans="1:28">
      <c r="A259" s="26"/>
      <c r="B259" s="26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1"/>
    </row>
    <row r="260" s="1" customFormat="1" ht="20" customHeight="1" spans="1:28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1"/>
    </row>
    <row r="261" s="1" customFormat="1" ht="20" customHeight="1" spans="1:28">
      <c r="A261" s="26"/>
      <c r="B261" s="26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1"/>
    </row>
    <row r="262" s="1" customFormat="1" ht="20" customHeight="1" spans="1:28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1"/>
    </row>
    <row r="263" s="1" customFormat="1" ht="20" customHeight="1" spans="1:28">
      <c r="A263" s="26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1"/>
    </row>
    <row r="264" s="1" customFormat="1" ht="20" customHeight="1" spans="1:28">
      <c r="A264" s="26"/>
      <c r="B264" s="28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1"/>
    </row>
    <row r="265" s="1" customFormat="1" ht="14.25" spans="1:28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1"/>
    </row>
    <row r="266" s="1" customFormat="1" ht="14.25" spans="1:28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1"/>
    </row>
    <row r="267" s="1" customFormat="1" ht="20" customHeight="1" spans="1:28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1"/>
    </row>
    <row r="268" s="1" customFormat="1" ht="20" customHeight="1" spans="1:28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1"/>
    </row>
    <row r="269" s="1" customFormat="1" ht="20" customHeight="1" spans="1:28">
      <c r="A269" s="26"/>
      <c r="B269" s="26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1"/>
    </row>
    <row r="270" s="1" customFormat="1" ht="20" customHeight="1" spans="1:28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1"/>
    </row>
    <row r="271" s="1" customFormat="1" ht="20" customHeight="1" spans="1:28">
      <c r="A271" s="26"/>
      <c r="B271" s="26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1"/>
    </row>
    <row r="272" s="1" customFormat="1" ht="20" customHeight="1" spans="1:28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1"/>
    </row>
    <row r="273" s="1" customFormat="1" ht="20" customHeight="1" spans="1:28">
      <c r="A273" s="26"/>
      <c r="B273" s="26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1"/>
    </row>
    <row r="274" s="1" customFormat="1" ht="20" customHeight="1" spans="1:28">
      <c r="A274" s="26"/>
      <c r="B274" s="28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1"/>
    </row>
    <row r="275" s="1" customFormat="1" ht="14.25" spans="1:28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1"/>
    </row>
    <row r="276" s="1" customFormat="1" ht="14.25" spans="1:28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1"/>
    </row>
    <row r="277" s="1" customFormat="1" ht="20" customHeight="1" spans="1:28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1"/>
    </row>
    <row r="278" s="1" customFormat="1" ht="20" customHeight="1" spans="1:28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1"/>
    </row>
    <row r="279" s="1" customFormat="1" ht="20" customHeight="1" spans="1:28">
      <c r="A279" s="26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1"/>
    </row>
    <row r="280" s="1" customFormat="1" ht="20" customHeight="1" spans="1:28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1"/>
    </row>
    <row r="281" s="1" customFormat="1" ht="20" customHeight="1" spans="1:28">
      <c r="A281" s="26"/>
      <c r="B281" s="26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1"/>
    </row>
    <row r="282" s="1" customFormat="1" ht="20" customHeight="1" spans="1:28">
      <c r="A282" s="26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1"/>
    </row>
    <row r="283" s="1" customFormat="1" ht="20" customHeight="1" spans="1:28">
      <c r="A283" s="26"/>
      <c r="B283" s="26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1"/>
    </row>
    <row r="284" s="1" customFormat="1" ht="20" customHeight="1" spans="1:28">
      <c r="A284" s="26"/>
      <c r="B284" s="28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1"/>
    </row>
    <row r="285" s="1" customFormat="1" ht="14.25" spans="1:28">
      <c r="A285" s="26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1"/>
    </row>
    <row r="286" s="1" customFormat="1" ht="14.25" spans="1:28">
      <c r="A286" s="26"/>
      <c r="B286" s="26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1"/>
    </row>
    <row r="287" s="1" customFormat="1" ht="20" customHeight="1" spans="1:28">
      <c r="A287" s="26"/>
      <c r="B287" s="26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1"/>
    </row>
    <row r="288" s="1" customFormat="1" ht="20" customHeight="1" spans="1:28">
      <c r="A288" s="26"/>
      <c r="B288" s="26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1"/>
    </row>
    <row r="289" s="1" customFormat="1" ht="20" customHeight="1" spans="1:28">
      <c r="A289" s="26"/>
      <c r="B289" s="26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1"/>
    </row>
    <row r="290" s="1" customFormat="1" ht="20" customHeight="1" spans="1:28">
      <c r="A290" s="26"/>
      <c r="B290" s="26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1"/>
    </row>
    <row r="291" s="1" customFormat="1" ht="20" customHeight="1" spans="1:28">
      <c r="A291" s="26"/>
      <c r="B291" s="26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1"/>
    </row>
    <row r="292" s="1" customFormat="1" ht="20" customHeight="1" spans="1:28">
      <c r="A292" s="26"/>
      <c r="B292" s="26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1"/>
    </row>
    <row r="293" s="1" customFormat="1" ht="20" customHeight="1" spans="1:28">
      <c r="A293" s="26"/>
      <c r="B293" s="26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1"/>
    </row>
    <row r="294" s="1" customFormat="1" ht="20" customHeight="1" spans="1:28">
      <c r="A294" s="26"/>
      <c r="B294" s="28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1"/>
    </row>
    <row r="295" s="1" customFormat="1" ht="14.25" spans="1:28">
      <c r="A295" s="26"/>
      <c r="B295" s="26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1"/>
    </row>
    <row r="296" s="1" customFormat="1" ht="14.25" spans="1:28">
      <c r="A296" s="26"/>
      <c r="B296" s="26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1"/>
    </row>
  </sheetData>
  <autoFilter ref="A3:AA96">
    <filterColumn colId="2">
      <customFilters>
        <customFilter operator="equal" val="实际"/>
      </customFilters>
    </filterColumn>
  </autoFilter>
  <mergeCells count="63">
    <mergeCell ref="A1:AB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AB281"/>
  <sheetViews>
    <sheetView zoomScale="85" zoomScaleNormal="85" workbookViewId="0">
      <pane xSplit="3" ySplit="3" topLeftCell="M59" activePane="bottomRight" state="frozen"/>
      <selection/>
      <selection pane="topRight"/>
      <selection pane="bottomLeft"/>
      <selection pane="bottomRight" activeCell="A3" sqref="$A3:$XFD3"/>
    </sheetView>
  </sheetViews>
  <sheetFormatPr defaultColWidth="9" defaultRowHeight="13.5"/>
  <cols>
    <col min="1" max="1" width="11.375" style="3" customWidth="1"/>
    <col min="2" max="2" width="17.25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9.375" style="6"/>
    <col min="29" max="16384" width="9" style="4"/>
  </cols>
  <sheetData>
    <row r="1" ht="62" customHeight="1" spans="1:28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8.75" spans="5:28">
      <c r="E2" s="9" t="s">
        <v>40</v>
      </c>
      <c r="AB2" s="4"/>
    </row>
    <row r="3" s="1" customFormat="1" ht="14.25" spans="1:27">
      <c r="A3" s="10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</row>
    <row r="4" s="1" customFormat="1" ht="30" hidden="1" customHeight="1" spans="1:27">
      <c r="A4" s="15">
        <v>46054</v>
      </c>
      <c r="B4" s="16">
        <v>4303121811816</v>
      </c>
      <c r="C4" s="17" t="s">
        <v>37</v>
      </c>
      <c r="D4" s="19">
        <v>88.36</v>
      </c>
      <c r="E4" s="19">
        <v>92.55</v>
      </c>
      <c r="F4" s="19">
        <v>91.65</v>
      </c>
      <c r="G4" s="19">
        <v>90.45</v>
      </c>
      <c r="H4" s="19">
        <v>89.66</v>
      </c>
      <c r="I4" s="19">
        <v>88.21</v>
      </c>
      <c r="J4" s="19">
        <v>82.33</v>
      </c>
      <c r="K4" s="19">
        <v>79.78</v>
      </c>
      <c r="L4" s="19">
        <v>84.22</v>
      </c>
      <c r="M4" s="19">
        <v>82.31</v>
      </c>
      <c r="N4" s="19">
        <v>82.85</v>
      </c>
      <c r="O4" s="19">
        <v>76.58</v>
      </c>
      <c r="P4" s="19">
        <v>79.66</v>
      </c>
      <c r="Q4" s="19">
        <v>91.58</v>
      </c>
      <c r="R4" s="19">
        <v>81.55</v>
      </c>
      <c r="S4" s="19">
        <v>82.62</v>
      </c>
      <c r="T4" s="19">
        <v>81.75</v>
      </c>
      <c r="U4" s="19">
        <v>81.11</v>
      </c>
      <c r="V4" s="19">
        <v>75.41</v>
      </c>
      <c r="W4" s="19">
        <v>74.33</v>
      </c>
      <c r="X4" s="19">
        <v>79.18</v>
      </c>
      <c r="Y4" s="19">
        <v>79.76</v>
      </c>
      <c r="Z4" s="19">
        <v>79.89</v>
      </c>
      <c r="AA4" s="19">
        <v>75.66</v>
      </c>
    </row>
    <row r="5" s="1" customFormat="1" ht="14.25" spans="1:28">
      <c r="A5" s="15"/>
      <c r="B5" s="16"/>
      <c r="C5" s="17" t="s">
        <v>38</v>
      </c>
      <c r="D5" s="19">
        <v>90.0275</v>
      </c>
      <c r="E5" s="19">
        <v>93.7992</v>
      </c>
      <c r="F5" s="19">
        <v>93.2478</v>
      </c>
      <c r="G5" s="19">
        <v>92.979</v>
      </c>
      <c r="H5" s="19">
        <v>91.8684</v>
      </c>
      <c r="I5" s="19">
        <v>89.5787</v>
      </c>
      <c r="J5" s="19">
        <v>87.1341</v>
      </c>
      <c r="K5" s="19">
        <v>85.2086</v>
      </c>
      <c r="L5" s="19">
        <v>84.0576</v>
      </c>
      <c r="M5" s="19">
        <v>82.4877</v>
      </c>
      <c r="N5" s="19">
        <v>78.2545</v>
      </c>
      <c r="O5" s="19">
        <v>74.2685</v>
      </c>
      <c r="P5" s="19">
        <v>73.8725</v>
      </c>
      <c r="Q5" s="19">
        <v>80.9766</v>
      </c>
      <c r="R5" s="19">
        <v>79.7773</v>
      </c>
      <c r="S5" s="19">
        <v>82.5757</v>
      </c>
      <c r="T5" s="19">
        <v>83.0579</v>
      </c>
      <c r="U5" s="19">
        <v>81.2187</v>
      </c>
      <c r="V5" s="19">
        <v>76.6234</v>
      </c>
      <c r="W5" s="19">
        <v>80.3264</v>
      </c>
      <c r="X5" s="19">
        <v>80.6353</v>
      </c>
      <c r="Y5" s="19">
        <v>82.2642</v>
      </c>
      <c r="Z5" s="19">
        <v>80.9882</v>
      </c>
      <c r="AA5" s="19">
        <v>78.0754</v>
      </c>
      <c r="AB5" s="21">
        <f>MAX(F5:AA5)</f>
        <v>93.2478</v>
      </c>
    </row>
    <row r="6" s="1" customFormat="1" ht="14.25" hidden="1" spans="1:27">
      <c r="A6" s="15"/>
      <c r="B6" s="16"/>
      <c r="C6" s="17" t="s">
        <v>39</v>
      </c>
      <c r="D6" s="19">
        <f t="shared" ref="D6:AA6" si="0">D4-D5</f>
        <v>-1.6675</v>
      </c>
      <c r="E6" s="19">
        <f t="shared" si="0"/>
        <v>-1.2492</v>
      </c>
      <c r="F6" s="19">
        <f t="shared" si="0"/>
        <v>-1.59779999999999</v>
      </c>
      <c r="G6" s="19">
        <f t="shared" si="0"/>
        <v>-2.529</v>
      </c>
      <c r="H6" s="19">
        <f t="shared" si="0"/>
        <v>-2.2084</v>
      </c>
      <c r="I6" s="19">
        <f t="shared" si="0"/>
        <v>-1.3687</v>
      </c>
      <c r="J6" s="19">
        <f t="shared" si="0"/>
        <v>-4.80410000000001</v>
      </c>
      <c r="K6" s="19">
        <f t="shared" si="0"/>
        <v>-5.4286</v>
      </c>
      <c r="L6" s="19">
        <f t="shared" si="0"/>
        <v>0.162400000000005</v>
      </c>
      <c r="M6" s="19">
        <f t="shared" si="0"/>
        <v>-0.177700000000002</v>
      </c>
      <c r="N6" s="19">
        <f t="shared" si="0"/>
        <v>4.5955</v>
      </c>
      <c r="O6" s="19">
        <f t="shared" si="0"/>
        <v>2.3115</v>
      </c>
      <c r="P6" s="19">
        <f t="shared" si="0"/>
        <v>5.78749999999999</v>
      </c>
      <c r="Q6" s="19">
        <f t="shared" si="0"/>
        <v>10.6034</v>
      </c>
      <c r="R6" s="19">
        <f t="shared" si="0"/>
        <v>1.7727</v>
      </c>
      <c r="S6" s="19">
        <f t="shared" si="0"/>
        <v>0.0443000000000069</v>
      </c>
      <c r="T6" s="19">
        <f t="shared" si="0"/>
        <v>-1.3079</v>
      </c>
      <c r="U6" s="19">
        <f t="shared" si="0"/>
        <v>-0.108699999999999</v>
      </c>
      <c r="V6" s="19">
        <f t="shared" si="0"/>
        <v>-1.21340000000001</v>
      </c>
      <c r="W6" s="19">
        <f t="shared" si="0"/>
        <v>-5.99640000000001</v>
      </c>
      <c r="X6" s="19">
        <f t="shared" si="0"/>
        <v>-1.45529999999999</v>
      </c>
      <c r="Y6" s="19">
        <f t="shared" si="0"/>
        <v>-2.5042</v>
      </c>
      <c r="Z6" s="19">
        <f t="shared" si="0"/>
        <v>-1.09820000000001</v>
      </c>
      <c r="AA6" s="19">
        <f t="shared" si="0"/>
        <v>-2.41540000000001</v>
      </c>
    </row>
    <row r="7" s="1" customFormat="1" ht="20" hidden="1" customHeight="1" spans="1:27">
      <c r="A7" s="15">
        <v>46055</v>
      </c>
      <c r="B7" s="16">
        <v>4303121811816</v>
      </c>
      <c r="C7" s="17" t="s">
        <v>37</v>
      </c>
      <c r="D7" s="20">
        <v>75.38</v>
      </c>
      <c r="E7" s="20">
        <v>79.11</v>
      </c>
      <c r="F7" s="20">
        <v>79.68</v>
      </c>
      <c r="G7" s="20">
        <v>79.21</v>
      </c>
      <c r="H7" s="20">
        <v>79.75</v>
      </c>
      <c r="I7" s="20">
        <v>80.66</v>
      </c>
      <c r="J7" s="20">
        <v>78.58</v>
      </c>
      <c r="K7" s="20">
        <v>84.33</v>
      </c>
      <c r="L7" s="20">
        <v>96.31</v>
      </c>
      <c r="M7" s="20">
        <v>99.78</v>
      </c>
      <c r="N7" s="20">
        <v>97.58</v>
      </c>
      <c r="O7" s="20">
        <v>93.33</v>
      </c>
      <c r="P7" s="20">
        <v>94.22</v>
      </c>
      <c r="Q7" s="20">
        <v>99.85</v>
      </c>
      <c r="R7" s="20">
        <v>100.28</v>
      </c>
      <c r="S7" s="20">
        <v>100.58</v>
      </c>
      <c r="T7" s="20">
        <v>100.66</v>
      </c>
      <c r="U7" s="20">
        <v>100.58</v>
      </c>
      <c r="V7" s="20">
        <v>95.77</v>
      </c>
      <c r="W7" s="20">
        <v>90.48</v>
      </c>
      <c r="X7" s="20">
        <v>93.66</v>
      </c>
      <c r="Y7" s="20">
        <v>92.33</v>
      </c>
      <c r="Z7" s="20">
        <v>91.58</v>
      </c>
      <c r="AA7" s="20">
        <v>86.66</v>
      </c>
    </row>
    <row r="8" s="1" customFormat="1" ht="14.25" spans="1:28">
      <c r="A8" s="15"/>
      <c r="B8" s="16"/>
      <c r="C8" s="17" t="s">
        <v>38</v>
      </c>
      <c r="D8" s="20">
        <v>77.4858</v>
      </c>
      <c r="E8" s="20">
        <v>80.3581</v>
      </c>
      <c r="F8" s="20">
        <v>80.3212</v>
      </c>
      <c r="G8" s="20">
        <v>80.8914</v>
      </c>
      <c r="H8" s="20">
        <v>82.3803</v>
      </c>
      <c r="I8" s="20">
        <v>82.0424</v>
      </c>
      <c r="J8" s="20">
        <v>82.771</v>
      </c>
      <c r="K8" s="20">
        <v>88.5544</v>
      </c>
      <c r="L8" s="20">
        <v>98.3026</v>
      </c>
      <c r="M8" s="20">
        <v>97.0015</v>
      </c>
      <c r="N8" s="20">
        <v>90.9392</v>
      </c>
      <c r="O8" s="20">
        <v>86.7891</v>
      </c>
      <c r="P8" s="20">
        <v>88.2514</v>
      </c>
      <c r="Q8" s="20">
        <v>91.5605</v>
      </c>
      <c r="R8" s="20">
        <v>93.368</v>
      </c>
      <c r="S8" s="20">
        <v>96.5395</v>
      </c>
      <c r="T8" s="20">
        <v>100.336</v>
      </c>
      <c r="U8" s="20">
        <v>98.4262</v>
      </c>
      <c r="V8" s="20">
        <v>94.4856</v>
      </c>
      <c r="W8" s="20">
        <v>90.4358</v>
      </c>
      <c r="X8" s="20">
        <v>94.0773</v>
      </c>
      <c r="Y8" s="20">
        <v>94.1351</v>
      </c>
      <c r="Z8" s="20">
        <v>93.2888</v>
      </c>
      <c r="AA8" s="20">
        <v>87.8011</v>
      </c>
      <c r="AB8" s="21">
        <f>MAX(F8:AA8)</f>
        <v>100.336</v>
      </c>
    </row>
    <row r="9" s="1" customFormat="1" ht="14.25" hidden="1" spans="1:27">
      <c r="A9" s="15"/>
      <c r="B9" s="16"/>
      <c r="C9" s="17" t="s">
        <v>39</v>
      </c>
      <c r="D9" s="20">
        <f t="shared" ref="D9:AA9" si="1">D7-D8</f>
        <v>-2.1058</v>
      </c>
      <c r="E9" s="20">
        <f t="shared" si="1"/>
        <v>-1.24809999999999</v>
      </c>
      <c r="F9" s="20">
        <f t="shared" si="1"/>
        <v>-0.641199999999998</v>
      </c>
      <c r="G9" s="20">
        <f t="shared" si="1"/>
        <v>-1.68140000000001</v>
      </c>
      <c r="H9" s="20">
        <f t="shared" si="1"/>
        <v>-2.63030000000001</v>
      </c>
      <c r="I9" s="20">
        <f t="shared" si="1"/>
        <v>-1.3824</v>
      </c>
      <c r="J9" s="20">
        <f t="shared" si="1"/>
        <v>-4.191</v>
      </c>
      <c r="K9" s="20">
        <f t="shared" si="1"/>
        <v>-4.2244</v>
      </c>
      <c r="L9" s="20">
        <f t="shared" si="1"/>
        <v>-1.9926</v>
      </c>
      <c r="M9" s="20">
        <f t="shared" si="1"/>
        <v>2.77850000000001</v>
      </c>
      <c r="N9" s="20">
        <f t="shared" si="1"/>
        <v>6.6408</v>
      </c>
      <c r="O9" s="20">
        <f t="shared" si="1"/>
        <v>6.54089999999999</v>
      </c>
      <c r="P9" s="20">
        <f t="shared" si="1"/>
        <v>5.9686</v>
      </c>
      <c r="Q9" s="20">
        <f t="shared" si="1"/>
        <v>8.28949999999999</v>
      </c>
      <c r="R9" s="20">
        <f t="shared" si="1"/>
        <v>6.91200000000001</v>
      </c>
      <c r="S9" s="20">
        <f t="shared" si="1"/>
        <v>4.04049999999999</v>
      </c>
      <c r="T9" s="20">
        <f t="shared" si="1"/>
        <v>0.323999999999998</v>
      </c>
      <c r="U9" s="20">
        <f t="shared" si="1"/>
        <v>2.1538</v>
      </c>
      <c r="V9" s="20">
        <f t="shared" si="1"/>
        <v>1.28439999999999</v>
      </c>
      <c r="W9" s="20">
        <f t="shared" si="1"/>
        <v>0.0442000000000036</v>
      </c>
      <c r="X9" s="20">
        <f t="shared" si="1"/>
        <v>-0.417299999999997</v>
      </c>
      <c r="Y9" s="20">
        <f t="shared" si="1"/>
        <v>-1.8051</v>
      </c>
      <c r="Z9" s="20">
        <f t="shared" si="1"/>
        <v>-1.7088</v>
      </c>
      <c r="AA9" s="20">
        <f t="shared" si="1"/>
        <v>-1.14110000000001</v>
      </c>
    </row>
    <row r="10" s="1" customFormat="1" ht="20" hidden="1" customHeight="1" spans="1:27">
      <c r="A10" s="15">
        <v>46056</v>
      </c>
      <c r="B10" s="16">
        <v>4303121811816</v>
      </c>
      <c r="C10" s="17" t="s">
        <v>37</v>
      </c>
      <c r="D10" s="19">
        <v>86.22</v>
      </c>
      <c r="E10" s="19">
        <v>91.34</v>
      </c>
      <c r="F10" s="19">
        <v>90.22</v>
      </c>
      <c r="G10" s="19">
        <v>90.84</v>
      </c>
      <c r="H10" s="19">
        <v>90.55</v>
      </c>
      <c r="I10" s="19">
        <v>90.58</v>
      </c>
      <c r="J10" s="19">
        <v>88.62</v>
      </c>
      <c r="K10" s="19">
        <v>89.58</v>
      </c>
      <c r="L10" s="19">
        <v>99.22</v>
      </c>
      <c r="M10" s="19">
        <v>98.21</v>
      </c>
      <c r="N10" s="19">
        <v>97.66</v>
      </c>
      <c r="O10" s="19">
        <v>93.66</v>
      </c>
      <c r="P10" s="19">
        <v>94.35</v>
      </c>
      <c r="Q10" s="19">
        <v>99.79</v>
      </c>
      <c r="R10" s="19">
        <v>100.11</v>
      </c>
      <c r="S10" s="19">
        <v>101.54</v>
      </c>
      <c r="T10" s="19">
        <v>100.58</v>
      </c>
      <c r="U10" s="19">
        <v>99.89</v>
      </c>
      <c r="V10" s="19">
        <v>95.77</v>
      </c>
      <c r="W10" s="19">
        <v>90.68</v>
      </c>
      <c r="X10" s="19">
        <v>93.58</v>
      </c>
      <c r="Y10" s="19">
        <v>92.54</v>
      </c>
      <c r="Z10" s="19">
        <v>91.68</v>
      </c>
      <c r="AA10" s="19">
        <v>86.71</v>
      </c>
    </row>
    <row r="11" s="1" customFormat="1" ht="14.25" spans="1:28">
      <c r="A11" s="15"/>
      <c r="B11" s="16"/>
      <c r="C11" s="17" t="s">
        <v>38</v>
      </c>
      <c r="D11" s="19">
        <v>88.6899</v>
      </c>
      <c r="E11" s="19">
        <v>92.9456</v>
      </c>
      <c r="F11" s="19">
        <v>91.9882</v>
      </c>
      <c r="G11" s="19">
        <v>91.1574</v>
      </c>
      <c r="H11" s="19">
        <v>92.1923</v>
      </c>
      <c r="I11" s="19">
        <v>92.935</v>
      </c>
      <c r="J11" s="19">
        <v>89.0454</v>
      </c>
      <c r="K11" s="19">
        <v>91.439</v>
      </c>
      <c r="L11" s="19">
        <v>97.8625</v>
      </c>
      <c r="M11" s="19">
        <v>98.3611</v>
      </c>
      <c r="N11" s="19">
        <v>97.0904</v>
      </c>
      <c r="O11" s="19">
        <v>90.691</v>
      </c>
      <c r="P11" s="19">
        <v>91.696</v>
      </c>
      <c r="Q11" s="19">
        <v>96.6574</v>
      </c>
      <c r="R11" s="19">
        <v>99.7656</v>
      </c>
      <c r="S11" s="19">
        <v>99.3221</v>
      </c>
      <c r="T11" s="19">
        <v>99.6741</v>
      </c>
      <c r="U11" s="19">
        <v>99.4875</v>
      </c>
      <c r="V11" s="19">
        <v>95.4026</v>
      </c>
      <c r="W11" s="19">
        <v>91.2541</v>
      </c>
      <c r="X11" s="19">
        <v>93.3909</v>
      </c>
      <c r="Y11" s="19">
        <v>92.4282</v>
      </c>
      <c r="Z11" s="19">
        <v>93.104</v>
      </c>
      <c r="AA11" s="19">
        <v>87.8874</v>
      </c>
      <c r="AB11" s="21">
        <f>MAX(F11:AA11)</f>
        <v>99.7656</v>
      </c>
    </row>
    <row r="12" s="1" customFormat="1" ht="14.25" hidden="1" spans="1:27">
      <c r="A12" s="15"/>
      <c r="B12" s="16"/>
      <c r="C12" s="17" t="s">
        <v>39</v>
      </c>
      <c r="D12" s="19">
        <f t="shared" ref="D12:AA12" si="2">D10-D11</f>
        <v>-2.4699</v>
      </c>
      <c r="E12" s="19">
        <f t="shared" si="2"/>
        <v>-1.6056</v>
      </c>
      <c r="F12" s="19">
        <f t="shared" si="2"/>
        <v>-1.76820000000001</v>
      </c>
      <c r="G12" s="19">
        <f t="shared" si="2"/>
        <v>-0.317399999999992</v>
      </c>
      <c r="H12" s="19">
        <f t="shared" si="2"/>
        <v>-1.64230000000001</v>
      </c>
      <c r="I12" s="19">
        <f t="shared" si="2"/>
        <v>-2.355</v>
      </c>
      <c r="J12" s="19">
        <f t="shared" si="2"/>
        <v>-0.425399999999996</v>
      </c>
      <c r="K12" s="19">
        <f t="shared" si="2"/>
        <v>-1.85899999999999</v>
      </c>
      <c r="L12" s="19">
        <f t="shared" si="2"/>
        <v>1.3575</v>
      </c>
      <c r="M12" s="19">
        <f t="shared" si="2"/>
        <v>-0.1511</v>
      </c>
      <c r="N12" s="19">
        <f t="shared" si="2"/>
        <v>0.569599999999994</v>
      </c>
      <c r="O12" s="19">
        <f t="shared" si="2"/>
        <v>2.96899999999999</v>
      </c>
      <c r="P12" s="19">
        <f t="shared" si="2"/>
        <v>2.654</v>
      </c>
      <c r="Q12" s="19">
        <f t="shared" si="2"/>
        <v>3.13260000000001</v>
      </c>
      <c r="R12" s="19">
        <f t="shared" si="2"/>
        <v>0.344399999999993</v>
      </c>
      <c r="S12" s="19">
        <f t="shared" si="2"/>
        <v>2.2179</v>
      </c>
      <c r="T12" s="19">
        <f t="shared" si="2"/>
        <v>0.905900000000003</v>
      </c>
      <c r="U12" s="19">
        <f t="shared" si="2"/>
        <v>0.402500000000003</v>
      </c>
      <c r="V12" s="19">
        <f t="shared" si="2"/>
        <v>0.367399999999989</v>
      </c>
      <c r="W12" s="19">
        <f t="shared" si="2"/>
        <v>-0.574099999999987</v>
      </c>
      <c r="X12" s="19">
        <f t="shared" si="2"/>
        <v>0.189099999999996</v>
      </c>
      <c r="Y12" s="19">
        <f t="shared" si="2"/>
        <v>0.111800000000002</v>
      </c>
      <c r="Z12" s="19">
        <f t="shared" si="2"/>
        <v>-1.42399999999999</v>
      </c>
      <c r="AA12" s="19">
        <f t="shared" si="2"/>
        <v>-1.17740000000001</v>
      </c>
    </row>
    <row r="13" s="1" customFormat="1" ht="20" hidden="1" customHeight="1" spans="1:27">
      <c r="A13" s="15">
        <v>46057</v>
      </c>
      <c r="B13" s="16">
        <v>4303121811816</v>
      </c>
      <c r="C13" s="17" t="s">
        <v>37</v>
      </c>
      <c r="D13" s="20">
        <v>86.31</v>
      </c>
      <c r="E13" s="20">
        <v>91.54</v>
      </c>
      <c r="F13" s="20">
        <v>90.33</v>
      </c>
      <c r="G13" s="20">
        <v>90.79</v>
      </c>
      <c r="H13" s="20">
        <v>90.66</v>
      </c>
      <c r="I13" s="20">
        <v>90.57</v>
      </c>
      <c r="J13" s="20">
        <v>88.55</v>
      </c>
      <c r="K13" s="20">
        <v>89.62</v>
      </c>
      <c r="L13" s="20">
        <v>99.28</v>
      </c>
      <c r="M13" s="20">
        <v>98.35</v>
      </c>
      <c r="N13" s="20">
        <v>97.58</v>
      </c>
      <c r="O13" s="20">
        <v>93.77</v>
      </c>
      <c r="P13" s="20">
        <v>94.45</v>
      </c>
      <c r="Q13" s="20">
        <v>99.68</v>
      </c>
      <c r="R13" s="20">
        <v>100.08</v>
      </c>
      <c r="S13" s="20">
        <v>100.42</v>
      </c>
      <c r="T13" s="20">
        <v>100.22</v>
      </c>
      <c r="U13" s="20">
        <v>99.68</v>
      </c>
      <c r="V13" s="20">
        <v>95.81</v>
      </c>
      <c r="W13" s="20">
        <v>90.72</v>
      </c>
      <c r="X13" s="20">
        <v>93.66</v>
      </c>
      <c r="Y13" s="20">
        <v>92.54</v>
      </c>
      <c r="Z13" s="20">
        <v>91.66</v>
      </c>
      <c r="AA13" s="20">
        <v>86.68</v>
      </c>
    </row>
    <row r="14" s="1" customFormat="1" ht="14.25" spans="1:28">
      <c r="A14" s="15"/>
      <c r="B14" s="16"/>
      <c r="C14" s="17" t="s">
        <v>38</v>
      </c>
      <c r="D14" s="20">
        <v>86.9528</v>
      </c>
      <c r="E14" s="20">
        <v>91.4338</v>
      </c>
      <c r="F14" s="20">
        <v>91.7242</v>
      </c>
      <c r="G14" s="20">
        <v>90.9216</v>
      </c>
      <c r="H14" s="20">
        <v>91.2683</v>
      </c>
      <c r="I14" s="20">
        <v>89.3411</v>
      </c>
      <c r="J14" s="20">
        <v>89.9378</v>
      </c>
      <c r="K14" s="20">
        <v>93.1235</v>
      </c>
      <c r="L14" s="20">
        <v>98.8512</v>
      </c>
      <c r="M14" s="20">
        <v>99.8906</v>
      </c>
      <c r="N14" s="20">
        <v>98.1429</v>
      </c>
      <c r="O14" s="20">
        <v>93.1163</v>
      </c>
      <c r="P14" s="20">
        <v>91.5253</v>
      </c>
      <c r="Q14" s="20">
        <v>97.8278</v>
      </c>
      <c r="R14" s="20">
        <v>99.6706</v>
      </c>
      <c r="S14" s="20">
        <v>99.2957</v>
      </c>
      <c r="T14" s="20">
        <v>98.8363</v>
      </c>
      <c r="U14" s="20">
        <v>96.0414</v>
      </c>
      <c r="V14" s="20">
        <v>92.5056</v>
      </c>
      <c r="W14" s="20">
        <v>89.1933</v>
      </c>
      <c r="X14" s="20">
        <v>94.167</v>
      </c>
      <c r="Y14" s="20">
        <v>93.0512</v>
      </c>
      <c r="Z14" s="20">
        <v>91.6608</v>
      </c>
      <c r="AA14" s="20">
        <v>88.7938</v>
      </c>
      <c r="AB14" s="21">
        <f>MAX(F14:AA14)</f>
        <v>99.8906</v>
      </c>
    </row>
    <row r="15" s="1" customFormat="1" ht="14.25" hidden="1" spans="1:27">
      <c r="A15" s="15"/>
      <c r="B15" s="16"/>
      <c r="C15" s="17" t="s">
        <v>39</v>
      </c>
      <c r="D15" s="20">
        <f t="shared" ref="D15:J15" si="3">D13-D14</f>
        <v>-0.642799999999994</v>
      </c>
      <c r="E15" s="20">
        <f t="shared" si="3"/>
        <v>0.106200000000001</v>
      </c>
      <c r="F15" s="20">
        <f t="shared" si="3"/>
        <v>-1.3942</v>
      </c>
      <c r="G15" s="20">
        <f t="shared" si="3"/>
        <v>-0.131599999999992</v>
      </c>
      <c r="H15" s="20">
        <f t="shared" si="3"/>
        <v>-0.6083</v>
      </c>
      <c r="I15" s="20">
        <f t="shared" si="3"/>
        <v>1.2289</v>
      </c>
      <c r="J15" s="20">
        <f t="shared" si="3"/>
        <v>-1.3878</v>
      </c>
      <c r="K15" s="20">
        <f t="shared" ref="K15:AA15" si="4">K13-K14</f>
        <v>-3.5035</v>
      </c>
      <c r="L15" s="20">
        <f t="shared" si="4"/>
        <v>0.428799999999995</v>
      </c>
      <c r="M15" s="20">
        <f t="shared" si="4"/>
        <v>-1.54060000000001</v>
      </c>
      <c r="N15" s="20">
        <f t="shared" si="4"/>
        <v>-0.562899999999999</v>
      </c>
      <c r="O15" s="20">
        <f t="shared" si="4"/>
        <v>0.653700000000001</v>
      </c>
      <c r="P15" s="20">
        <f t="shared" si="4"/>
        <v>2.9247</v>
      </c>
      <c r="Q15" s="20">
        <f t="shared" si="4"/>
        <v>1.85220000000001</v>
      </c>
      <c r="R15" s="20">
        <f t="shared" si="4"/>
        <v>0.409400000000005</v>
      </c>
      <c r="S15" s="20">
        <f t="shared" si="4"/>
        <v>1.12430000000001</v>
      </c>
      <c r="T15" s="20">
        <f t="shared" si="4"/>
        <v>1.3837</v>
      </c>
      <c r="U15" s="20">
        <f t="shared" si="4"/>
        <v>3.63860000000001</v>
      </c>
      <c r="V15" s="20">
        <f t="shared" si="4"/>
        <v>3.3044</v>
      </c>
      <c r="W15" s="20">
        <f t="shared" si="4"/>
        <v>1.52670000000001</v>
      </c>
      <c r="X15" s="20">
        <f t="shared" si="4"/>
        <v>-0.507000000000005</v>
      </c>
      <c r="Y15" s="20">
        <f t="shared" si="4"/>
        <v>-0.511199999999988</v>
      </c>
      <c r="Z15" s="20">
        <f t="shared" si="4"/>
        <v>-0.000799999999998136</v>
      </c>
      <c r="AA15" s="20">
        <f t="shared" si="4"/>
        <v>-2.1138</v>
      </c>
    </row>
    <row r="16" s="1" customFormat="1" ht="20" hidden="1" customHeight="1" spans="1:27">
      <c r="A16" s="15">
        <v>46058</v>
      </c>
      <c r="B16" s="16">
        <v>4303121811816</v>
      </c>
      <c r="C16" s="17" t="s">
        <v>37</v>
      </c>
      <c r="D16" s="19">
        <v>86.41</v>
      </c>
      <c r="E16" s="19">
        <v>91.45</v>
      </c>
      <c r="F16" s="19">
        <v>90.28</v>
      </c>
      <c r="G16" s="19">
        <v>90.66</v>
      </c>
      <c r="H16" s="19">
        <v>90.58</v>
      </c>
      <c r="I16" s="19">
        <v>90.61</v>
      </c>
      <c r="J16" s="19">
        <v>88.62</v>
      </c>
      <c r="K16" s="19">
        <v>89.58</v>
      </c>
      <c r="L16" s="19">
        <v>99.31</v>
      </c>
      <c r="M16" s="19">
        <v>98.41</v>
      </c>
      <c r="N16" s="19">
        <v>97.66</v>
      </c>
      <c r="O16" s="19">
        <v>93.68</v>
      </c>
      <c r="P16" s="19">
        <v>94.52</v>
      </c>
      <c r="Q16" s="19">
        <v>99.76</v>
      </c>
      <c r="R16" s="19">
        <v>99.89</v>
      </c>
      <c r="S16" s="19">
        <v>100.25</v>
      </c>
      <c r="T16" s="19">
        <v>99.98</v>
      </c>
      <c r="U16" s="19">
        <v>99.88</v>
      </c>
      <c r="V16" s="19">
        <v>95.76</v>
      </c>
      <c r="W16" s="19">
        <v>90.66</v>
      </c>
      <c r="X16" s="19">
        <v>93.71</v>
      </c>
      <c r="Y16" s="19">
        <v>92.61</v>
      </c>
      <c r="Z16" s="19">
        <v>91.58</v>
      </c>
      <c r="AA16" s="19">
        <v>86.55</v>
      </c>
    </row>
    <row r="17" s="1" customFormat="1" ht="14.25" spans="1:28">
      <c r="A17" s="15"/>
      <c r="B17" s="16"/>
      <c r="C17" s="17" t="s">
        <v>38</v>
      </c>
      <c r="D17" s="19">
        <v>88.4083</v>
      </c>
      <c r="E17" s="19">
        <v>92.1131</v>
      </c>
      <c r="F17" s="19">
        <v>90.677</v>
      </c>
      <c r="G17" s="19">
        <v>91.9776</v>
      </c>
      <c r="H17" s="19">
        <v>92.9245</v>
      </c>
      <c r="I17" s="19">
        <v>90.1947</v>
      </c>
      <c r="J17" s="19">
        <v>88.792</v>
      </c>
      <c r="K17" s="19">
        <v>91.0571</v>
      </c>
      <c r="L17" s="19">
        <v>99.2816</v>
      </c>
      <c r="M17" s="19">
        <v>100.1033</v>
      </c>
      <c r="N17" s="19">
        <v>98.9595</v>
      </c>
      <c r="O17" s="19">
        <v>93.1542</v>
      </c>
      <c r="P17" s="19">
        <v>91.3581</v>
      </c>
      <c r="Q17" s="19">
        <v>97.768</v>
      </c>
      <c r="R17" s="19">
        <v>99.3238</v>
      </c>
      <c r="S17" s="19">
        <v>99.66</v>
      </c>
      <c r="T17" s="19">
        <v>99.9504</v>
      </c>
      <c r="U17" s="19">
        <v>98.7747</v>
      </c>
      <c r="V17" s="19">
        <v>92.8787</v>
      </c>
      <c r="W17" s="19">
        <v>88.4646</v>
      </c>
      <c r="X17" s="19">
        <v>94.4082</v>
      </c>
      <c r="Y17" s="19">
        <v>93.5968</v>
      </c>
      <c r="Z17" s="19">
        <v>90.4482</v>
      </c>
      <c r="AA17" s="19">
        <v>88.1302</v>
      </c>
      <c r="AB17" s="21">
        <f>MAX(F17:AA17)</f>
        <v>100.1033</v>
      </c>
    </row>
    <row r="18" s="1" customFormat="1" ht="14.25" hidden="1" spans="1:27">
      <c r="A18" s="15"/>
      <c r="B18" s="16"/>
      <c r="C18" s="17" t="s">
        <v>39</v>
      </c>
      <c r="D18" s="19">
        <f t="shared" ref="D18:AA18" si="5">D16-D17</f>
        <v>-1.9983</v>
      </c>
      <c r="E18" s="19">
        <f t="shared" si="5"/>
        <v>-0.6631</v>
      </c>
      <c r="F18" s="19">
        <f t="shared" si="5"/>
        <v>-0.397000000000006</v>
      </c>
      <c r="G18" s="19">
        <f t="shared" si="5"/>
        <v>-1.3176</v>
      </c>
      <c r="H18" s="19">
        <f t="shared" si="5"/>
        <v>-2.3445</v>
      </c>
      <c r="I18" s="19">
        <f t="shared" si="5"/>
        <v>0.415300000000002</v>
      </c>
      <c r="J18" s="19">
        <f t="shared" si="5"/>
        <v>-0.171999999999997</v>
      </c>
      <c r="K18" s="19">
        <f t="shared" si="5"/>
        <v>-1.47710000000001</v>
      </c>
      <c r="L18" s="19">
        <f t="shared" si="5"/>
        <v>0.0284000000000049</v>
      </c>
      <c r="M18" s="19">
        <f t="shared" si="5"/>
        <v>-1.69330000000001</v>
      </c>
      <c r="N18" s="19">
        <f t="shared" si="5"/>
        <v>-1.29950000000001</v>
      </c>
      <c r="O18" s="19">
        <f t="shared" si="5"/>
        <v>0.525800000000004</v>
      </c>
      <c r="P18" s="19">
        <f t="shared" si="5"/>
        <v>3.1619</v>
      </c>
      <c r="Q18" s="19">
        <f t="shared" si="5"/>
        <v>1.992</v>
      </c>
      <c r="R18" s="19">
        <f t="shared" si="5"/>
        <v>0.566199999999995</v>
      </c>
      <c r="S18" s="19">
        <f t="shared" si="5"/>
        <v>0.590000000000003</v>
      </c>
      <c r="T18" s="19">
        <f t="shared" si="5"/>
        <v>0.0296000000000021</v>
      </c>
      <c r="U18" s="19">
        <f t="shared" si="5"/>
        <v>1.1053</v>
      </c>
      <c r="V18" s="19">
        <f t="shared" si="5"/>
        <v>2.88130000000001</v>
      </c>
      <c r="W18" s="19">
        <f t="shared" si="5"/>
        <v>2.19539999999999</v>
      </c>
      <c r="X18" s="19">
        <f t="shared" si="5"/>
        <v>-0.6982</v>
      </c>
      <c r="Y18" s="19">
        <f t="shared" si="5"/>
        <v>-0.986800000000002</v>
      </c>
      <c r="Z18" s="19">
        <f t="shared" si="5"/>
        <v>1.1318</v>
      </c>
      <c r="AA18" s="19">
        <f t="shared" si="5"/>
        <v>-1.5802</v>
      </c>
    </row>
    <row r="19" s="1" customFormat="1" ht="20" hidden="1" customHeight="1" spans="1:27">
      <c r="A19" s="15">
        <v>46059</v>
      </c>
      <c r="B19" s="16">
        <v>4303121811816</v>
      </c>
      <c r="C19" s="17" t="s">
        <v>37</v>
      </c>
      <c r="D19" s="20">
        <v>88.68</v>
      </c>
      <c r="E19" s="20">
        <v>93.45</v>
      </c>
      <c r="F19" s="20">
        <v>92.98</v>
      </c>
      <c r="G19" s="20">
        <v>93.22</v>
      </c>
      <c r="H19" s="20">
        <v>92.86</v>
      </c>
      <c r="I19" s="20">
        <v>91.55</v>
      </c>
      <c r="J19" s="20">
        <v>90.61</v>
      </c>
      <c r="K19" s="20">
        <v>92.68</v>
      </c>
      <c r="L19" s="20">
        <v>99.62</v>
      </c>
      <c r="M19" s="20">
        <v>101.22</v>
      </c>
      <c r="N19" s="20">
        <v>99.87</v>
      </c>
      <c r="O19" s="20">
        <v>94.89</v>
      </c>
      <c r="P19" s="20">
        <v>94.24</v>
      </c>
      <c r="Q19" s="20">
        <v>98.56</v>
      </c>
      <c r="R19" s="20">
        <v>98.88</v>
      </c>
      <c r="S19" s="20">
        <v>100.51</v>
      </c>
      <c r="T19" s="20">
        <v>99.89</v>
      </c>
      <c r="U19" s="20">
        <v>100.25</v>
      </c>
      <c r="V19" s="20">
        <v>95.66</v>
      </c>
      <c r="W19" s="20">
        <v>91.28</v>
      </c>
      <c r="X19" s="20">
        <v>93.89</v>
      </c>
      <c r="Y19" s="20">
        <v>93.96</v>
      </c>
      <c r="Z19" s="20">
        <v>94.22</v>
      </c>
      <c r="AA19" s="20">
        <v>89.41</v>
      </c>
    </row>
    <row r="20" s="1" customFormat="1" ht="14.25" spans="1:28">
      <c r="A20" s="15"/>
      <c r="B20" s="16"/>
      <c r="C20" s="17" t="s">
        <v>38</v>
      </c>
      <c r="D20" s="20">
        <v>88.4541</v>
      </c>
      <c r="E20" s="20">
        <v>91.3405</v>
      </c>
      <c r="F20" s="20">
        <v>91.4478</v>
      </c>
      <c r="G20" s="20">
        <v>92.0691</v>
      </c>
      <c r="H20" s="20">
        <v>91.2069</v>
      </c>
      <c r="I20" s="20">
        <v>89.6245</v>
      </c>
      <c r="J20" s="20">
        <v>87.7466</v>
      </c>
      <c r="K20" s="20">
        <v>93.2835</v>
      </c>
      <c r="L20" s="20">
        <v>99.4966</v>
      </c>
      <c r="M20" s="20">
        <v>99.0141</v>
      </c>
      <c r="N20" s="20">
        <v>98.5811</v>
      </c>
      <c r="O20" s="20">
        <v>91.2546</v>
      </c>
      <c r="P20" s="20">
        <v>91.4338</v>
      </c>
      <c r="Q20" s="20">
        <v>97.5374</v>
      </c>
      <c r="R20" s="20">
        <v>97.4565</v>
      </c>
      <c r="S20" s="20">
        <v>98.9632</v>
      </c>
      <c r="T20" s="20">
        <v>98.6455</v>
      </c>
      <c r="U20" s="20">
        <v>98.4016</v>
      </c>
      <c r="V20" s="20">
        <v>94.2973</v>
      </c>
      <c r="W20" s="20">
        <v>89.8147</v>
      </c>
      <c r="X20" s="20">
        <v>95.2537</v>
      </c>
      <c r="Y20" s="20">
        <v>91.8174</v>
      </c>
      <c r="Z20" s="20">
        <v>90.4486</v>
      </c>
      <c r="AA20" s="20">
        <v>88.6458</v>
      </c>
      <c r="AB20" s="21">
        <f>MAX(F20:AA20)</f>
        <v>99.4966</v>
      </c>
    </row>
    <row r="21" s="1" customFormat="1" ht="15" hidden="1" customHeight="1" spans="1:27">
      <c r="A21" s="15"/>
      <c r="B21" s="16"/>
      <c r="C21" s="17" t="s">
        <v>39</v>
      </c>
      <c r="D21" s="20">
        <f t="shared" ref="D21:AA21" si="6">D19-D20</f>
        <v>0.22590000000001</v>
      </c>
      <c r="E21" s="20">
        <f t="shared" si="6"/>
        <v>2.1095</v>
      </c>
      <c r="F21" s="20">
        <f t="shared" si="6"/>
        <v>1.5322</v>
      </c>
      <c r="G21" s="20">
        <f t="shared" si="6"/>
        <v>1.15089999999999</v>
      </c>
      <c r="H21" s="20">
        <f t="shared" si="6"/>
        <v>1.65309999999999</v>
      </c>
      <c r="I21" s="20">
        <f t="shared" si="6"/>
        <v>1.9255</v>
      </c>
      <c r="J21" s="20">
        <f t="shared" si="6"/>
        <v>2.8634</v>
      </c>
      <c r="K21" s="20">
        <f t="shared" si="6"/>
        <v>-0.603499999999997</v>
      </c>
      <c r="L21" s="20">
        <f t="shared" si="6"/>
        <v>0.123400000000004</v>
      </c>
      <c r="M21" s="20">
        <f t="shared" si="6"/>
        <v>2.2059</v>
      </c>
      <c r="N21" s="20">
        <f t="shared" si="6"/>
        <v>1.2889</v>
      </c>
      <c r="O21" s="20">
        <f t="shared" si="6"/>
        <v>3.6354</v>
      </c>
      <c r="P21" s="20">
        <f t="shared" si="6"/>
        <v>2.80619999999999</v>
      </c>
      <c r="Q21" s="20">
        <f t="shared" si="6"/>
        <v>1.0226</v>
      </c>
      <c r="R21" s="20">
        <f t="shared" si="6"/>
        <v>1.42349999999999</v>
      </c>
      <c r="S21" s="20">
        <f t="shared" si="6"/>
        <v>1.5468</v>
      </c>
      <c r="T21" s="20">
        <f t="shared" si="6"/>
        <v>1.2445</v>
      </c>
      <c r="U21" s="20">
        <f t="shared" si="6"/>
        <v>1.8484</v>
      </c>
      <c r="V21" s="20">
        <f t="shared" si="6"/>
        <v>1.36269999999999</v>
      </c>
      <c r="W21" s="20">
        <f t="shared" si="6"/>
        <v>1.4653</v>
      </c>
      <c r="X21" s="20">
        <f t="shared" si="6"/>
        <v>-1.36369999999999</v>
      </c>
      <c r="Y21" s="20">
        <f t="shared" si="6"/>
        <v>2.14259999999999</v>
      </c>
      <c r="Z21" s="20">
        <f t="shared" si="6"/>
        <v>3.7714</v>
      </c>
      <c r="AA21" s="20">
        <f t="shared" si="6"/>
        <v>0.764200000000002</v>
      </c>
    </row>
    <row r="22" s="1" customFormat="1" ht="20" hidden="1" customHeight="1" spans="1:27">
      <c r="A22" s="15">
        <v>46060</v>
      </c>
      <c r="B22" s="16">
        <v>4303121811816</v>
      </c>
      <c r="C22" s="17" t="s">
        <v>37</v>
      </c>
      <c r="D22" s="19">
        <v>89.58</v>
      </c>
      <c r="E22" s="19">
        <v>93.62</v>
      </c>
      <c r="F22" s="19">
        <v>93.22</v>
      </c>
      <c r="G22" s="19">
        <v>92.86</v>
      </c>
      <c r="H22" s="19">
        <v>91.99</v>
      </c>
      <c r="I22" s="19">
        <v>91.56</v>
      </c>
      <c r="J22" s="19">
        <v>90.72</v>
      </c>
      <c r="K22" s="19">
        <v>92.66</v>
      </c>
      <c r="L22" s="19">
        <v>99.58</v>
      </c>
      <c r="M22" s="19">
        <v>99.62</v>
      </c>
      <c r="N22" s="32">
        <v>99.62</v>
      </c>
      <c r="O22" s="32">
        <v>94.68</v>
      </c>
      <c r="P22" s="32">
        <v>94.42</v>
      </c>
      <c r="Q22" s="32">
        <v>98.61</v>
      </c>
      <c r="R22" s="32">
        <v>98.75</v>
      </c>
      <c r="S22" s="19">
        <v>99.82</v>
      </c>
      <c r="T22" s="19">
        <v>99.75</v>
      </c>
      <c r="U22" s="19">
        <v>99.68</v>
      </c>
      <c r="V22" s="19">
        <v>95.71</v>
      </c>
      <c r="W22" s="19">
        <v>91.33</v>
      </c>
      <c r="X22" s="19">
        <v>93.62</v>
      </c>
      <c r="Y22" s="19">
        <v>93.72</v>
      </c>
      <c r="Z22" s="19">
        <v>94.33</v>
      </c>
      <c r="AA22" s="19">
        <v>89.58</v>
      </c>
    </row>
    <row r="23" s="1" customFormat="1" ht="14.25" spans="1:28">
      <c r="A23" s="15"/>
      <c r="B23" s="16"/>
      <c r="C23" s="17" t="s">
        <v>38</v>
      </c>
      <c r="D23" s="19">
        <v>87.5741</v>
      </c>
      <c r="E23" s="19">
        <v>92.5531</v>
      </c>
      <c r="F23" s="19">
        <v>92.092</v>
      </c>
      <c r="G23" s="19">
        <v>93.3592</v>
      </c>
      <c r="H23" s="19">
        <v>92.6751</v>
      </c>
      <c r="I23" s="19">
        <v>90.3475</v>
      </c>
      <c r="J23" s="19">
        <v>88.2957</v>
      </c>
      <c r="K23" s="19">
        <v>89.1757</v>
      </c>
      <c r="L23" s="19">
        <v>99.0312</v>
      </c>
      <c r="M23" s="34">
        <v>98.4808</v>
      </c>
      <c r="N23" s="19">
        <v>98.1024</v>
      </c>
      <c r="O23" s="35">
        <v>92.8206</v>
      </c>
      <c r="P23" s="19">
        <v>89.3235</v>
      </c>
      <c r="Q23" s="36">
        <v>97.2822</v>
      </c>
      <c r="R23" s="36">
        <v>97.8842</v>
      </c>
      <c r="S23" s="35">
        <v>99.9152</v>
      </c>
      <c r="T23" s="19">
        <v>10.0705</v>
      </c>
      <c r="U23" s="19">
        <v>97.7082</v>
      </c>
      <c r="V23" s="19">
        <v>93.4384</v>
      </c>
      <c r="W23" s="19">
        <v>88.6635</v>
      </c>
      <c r="X23" s="19">
        <v>92.4456</v>
      </c>
      <c r="Y23" s="19">
        <v>90.6154</v>
      </c>
      <c r="Z23" s="19">
        <v>89.0402</v>
      </c>
      <c r="AA23" s="19">
        <v>86.731</v>
      </c>
      <c r="AB23" s="21">
        <f>MAX(F23:AA23)</f>
        <v>99.9152</v>
      </c>
    </row>
    <row r="24" s="1" customFormat="1" ht="14.25" hidden="1" spans="1:27">
      <c r="A24" s="15"/>
      <c r="B24" s="16"/>
      <c r="C24" s="17" t="s">
        <v>39</v>
      </c>
      <c r="D24" s="19">
        <f t="shared" ref="D24:AA24" si="7">D22-D23</f>
        <v>2.0059</v>
      </c>
      <c r="E24" s="19">
        <f t="shared" si="7"/>
        <v>1.0669</v>
      </c>
      <c r="F24" s="19">
        <f t="shared" si="7"/>
        <v>1.128</v>
      </c>
      <c r="G24" s="19">
        <f t="shared" si="7"/>
        <v>-0.499200000000002</v>
      </c>
      <c r="H24" s="19">
        <f t="shared" si="7"/>
        <v>-0.685100000000006</v>
      </c>
      <c r="I24" s="19">
        <f t="shared" si="7"/>
        <v>1.21250000000001</v>
      </c>
      <c r="J24" s="19">
        <f t="shared" si="7"/>
        <v>2.4243</v>
      </c>
      <c r="K24" s="19">
        <f t="shared" si="7"/>
        <v>3.48429999999999</v>
      </c>
      <c r="L24" s="19">
        <f t="shared" si="7"/>
        <v>0.5488</v>
      </c>
      <c r="M24" s="19">
        <f t="shared" si="7"/>
        <v>1.1392</v>
      </c>
      <c r="N24" s="33">
        <f t="shared" si="7"/>
        <v>1.5176</v>
      </c>
      <c r="O24" s="33">
        <f t="shared" si="7"/>
        <v>1.85940000000001</v>
      </c>
      <c r="P24" s="33">
        <f t="shared" si="7"/>
        <v>5.09650000000001</v>
      </c>
      <c r="Q24" s="33">
        <f t="shared" si="7"/>
        <v>1.3278</v>
      </c>
      <c r="R24" s="33">
        <f t="shared" si="7"/>
        <v>0.865799999999993</v>
      </c>
      <c r="S24" s="19">
        <f t="shared" si="7"/>
        <v>-0.0952000000000055</v>
      </c>
      <c r="T24" s="19">
        <f t="shared" si="7"/>
        <v>89.6795</v>
      </c>
      <c r="U24" s="19">
        <f t="shared" si="7"/>
        <v>1.9718</v>
      </c>
      <c r="V24" s="19">
        <f t="shared" si="7"/>
        <v>2.27159999999999</v>
      </c>
      <c r="W24" s="19">
        <f t="shared" si="7"/>
        <v>2.6665</v>
      </c>
      <c r="X24" s="19">
        <f t="shared" si="7"/>
        <v>1.17440000000001</v>
      </c>
      <c r="Y24" s="19">
        <f t="shared" si="7"/>
        <v>3.1046</v>
      </c>
      <c r="Z24" s="19">
        <f t="shared" si="7"/>
        <v>5.2898</v>
      </c>
      <c r="AA24" s="19">
        <f t="shared" si="7"/>
        <v>2.849</v>
      </c>
    </row>
    <row r="25" s="1" customFormat="1" ht="20" hidden="1" customHeight="1" spans="1:27">
      <c r="A25" s="15">
        <v>46061</v>
      </c>
      <c r="B25" s="16">
        <v>4303121811816</v>
      </c>
      <c r="C25" s="17" t="s">
        <v>37</v>
      </c>
      <c r="D25" s="20">
        <v>89.87</v>
      </c>
      <c r="E25" s="20">
        <v>93.72</v>
      </c>
      <c r="F25" s="20">
        <v>93.66</v>
      </c>
      <c r="G25" s="20">
        <v>92.85</v>
      </c>
      <c r="H25" s="20">
        <v>91.68</v>
      </c>
      <c r="I25" s="20">
        <v>89.55</v>
      </c>
      <c r="J25" s="20">
        <v>87.22</v>
      </c>
      <c r="K25" s="20">
        <v>85.18</v>
      </c>
      <c r="L25" s="20">
        <v>84.11</v>
      </c>
      <c r="M25" s="20">
        <v>82.58</v>
      </c>
      <c r="N25" s="20">
        <v>78.32</v>
      </c>
      <c r="O25" s="20">
        <v>74.31</v>
      </c>
      <c r="P25" s="20">
        <v>73.66</v>
      </c>
      <c r="Q25" s="20">
        <v>80.79</v>
      </c>
      <c r="R25" s="20">
        <v>79.69</v>
      </c>
      <c r="S25" s="20">
        <v>82.46</v>
      </c>
      <c r="T25" s="20">
        <v>83.18</v>
      </c>
      <c r="U25" s="20">
        <v>81.32</v>
      </c>
      <c r="V25" s="20">
        <v>76.58</v>
      </c>
      <c r="W25" s="20">
        <v>80.22</v>
      </c>
      <c r="X25" s="20">
        <v>80.58</v>
      </c>
      <c r="Y25" s="20">
        <v>82.11</v>
      </c>
      <c r="Z25" s="20">
        <v>80.82</v>
      </c>
      <c r="AA25" s="20">
        <v>78.11</v>
      </c>
    </row>
    <row r="26" s="1" customFormat="1" ht="14.25" spans="1:28">
      <c r="A26" s="15"/>
      <c r="B26" s="16"/>
      <c r="C26" s="17" t="s">
        <v>38</v>
      </c>
      <c r="D26" s="20">
        <v>86.145</v>
      </c>
      <c r="E26" s="20">
        <v>89.2918</v>
      </c>
      <c r="F26" s="20">
        <v>91.0554</v>
      </c>
      <c r="G26" s="20">
        <v>91.3264</v>
      </c>
      <c r="H26" s="20">
        <v>90.5436</v>
      </c>
      <c r="I26" s="20">
        <v>88.2341</v>
      </c>
      <c r="J26" s="20">
        <v>84.2618</v>
      </c>
      <c r="K26" s="20">
        <v>82.7411</v>
      </c>
      <c r="L26" s="20">
        <v>85.1189</v>
      </c>
      <c r="M26" s="20">
        <v>82.3856</v>
      </c>
      <c r="N26" s="20">
        <v>81.2698</v>
      </c>
      <c r="O26" s="20">
        <v>71.8555</v>
      </c>
      <c r="P26" s="20">
        <v>71.2184</v>
      </c>
      <c r="Q26" s="20">
        <v>75.5022</v>
      </c>
      <c r="R26" s="20">
        <v>77.917</v>
      </c>
      <c r="S26" s="20">
        <v>83.035</v>
      </c>
      <c r="T26" s="20">
        <v>84.2424</v>
      </c>
      <c r="U26" s="20">
        <v>84.1509</v>
      </c>
      <c r="V26" s="20">
        <v>82.331</v>
      </c>
      <c r="W26" s="20">
        <v>79.0222</v>
      </c>
      <c r="X26" s="20">
        <v>84.4518</v>
      </c>
      <c r="Y26" s="20">
        <v>84.473</v>
      </c>
      <c r="Z26" s="20">
        <v>82.859</v>
      </c>
      <c r="AA26" s="20">
        <v>82.7653</v>
      </c>
      <c r="AB26" s="21">
        <f>MAX(F26:AA26)</f>
        <v>91.3264</v>
      </c>
    </row>
    <row r="27" s="1" customFormat="1" ht="14.25" hidden="1" spans="1:27">
      <c r="A27" s="15"/>
      <c r="B27" s="16"/>
      <c r="C27" s="17" t="s">
        <v>39</v>
      </c>
      <c r="D27" s="20">
        <f t="shared" ref="D27:AA27" si="8">D25-D26</f>
        <v>3.72500000000001</v>
      </c>
      <c r="E27" s="20">
        <f t="shared" si="8"/>
        <v>4.4282</v>
      </c>
      <c r="F27" s="20">
        <f t="shared" si="8"/>
        <v>2.60459999999999</v>
      </c>
      <c r="G27" s="20">
        <f t="shared" si="8"/>
        <v>1.52359999999999</v>
      </c>
      <c r="H27" s="20">
        <f t="shared" si="8"/>
        <v>1.13640000000001</v>
      </c>
      <c r="I27" s="20">
        <f t="shared" si="8"/>
        <v>1.3159</v>
      </c>
      <c r="J27" s="20">
        <f t="shared" si="8"/>
        <v>2.9582</v>
      </c>
      <c r="K27" s="20">
        <f t="shared" si="8"/>
        <v>2.4389</v>
      </c>
      <c r="L27" s="20">
        <f t="shared" si="8"/>
        <v>-1.0089</v>
      </c>
      <c r="M27" s="20">
        <f t="shared" si="8"/>
        <v>0.194400000000002</v>
      </c>
      <c r="N27" s="20">
        <f t="shared" si="8"/>
        <v>-2.94980000000001</v>
      </c>
      <c r="O27" s="20">
        <f t="shared" si="8"/>
        <v>2.4545</v>
      </c>
      <c r="P27" s="20">
        <f t="shared" si="8"/>
        <v>2.44159999999999</v>
      </c>
      <c r="Q27" s="20">
        <f t="shared" si="8"/>
        <v>5.2878</v>
      </c>
      <c r="R27" s="20">
        <f t="shared" si="8"/>
        <v>1.773</v>
      </c>
      <c r="S27" s="20">
        <f t="shared" si="8"/>
        <v>-0.575000000000003</v>
      </c>
      <c r="T27" s="20">
        <f t="shared" si="8"/>
        <v>-1.0624</v>
      </c>
      <c r="U27" s="20">
        <f t="shared" si="8"/>
        <v>-2.8309</v>
      </c>
      <c r="V27" s="20">
        <f t="shared" si="8"/>
        <v>-5.751</v>
      </c>
      <c r="W27" s="20">
        <f t="shared" si="8"/>
        <v>1.1978</v>
      </c>
      <c r="X27" s="20">
        <f t="shared" si="8"/>
        <v>-3.87180000000001</v>
      </c>
      <c r="Y27" s="20">
        <f t="shared" si="8"/>
        <v>-2.363</v>
      </c>
      <c r="Z27" s="20">
        <f t="shared" si="8"/>
        <v>-2.039</v>
      </c>
      <c r="AA27" s="20">
        <f t="shared" si="8"/>
        <v>-4.6553</v>
      </c>
    </row>
    <row r="28" s="1" customFormat="1" ht="20" hidden="1" customHeight="1" spans="1:27">
      <c r="A28" s="15">
        <v>46062</v>
      </c>
      <c r="B28" s="16">
        <v>4303121811816</v>
      </c>
      <c r="C28" s="17" t="s">
        <v>37</v>
      </c>
      <c r="D28" s="19">
        <v>77.52</v>
      </c>
      <c r="E28" s="19">
        <v>80.32</v>
      </c>
      <c r="F28" s="19">
        <v>80.22</v>
      </c>
      <c r="G28" s="19">
        <v>80.77</v>
      </c>
      <c r="H28" s="19">
        <v>82.58</v>
      </c>
      <c r="I28" s="19">
        <v>82.11</v>
      </c>
      <c r="J28" s="19">
        <v>82.68</v>
      </c>
      <c r="K28" s="19">
        <v>88.62</v>
      </c>
      <c r="L28" s="19">
        <v>98.22</v>
      </c>
      <c r="M28" s="19">
        <v>97.58</v>
      </c>
      <c r="N28" s="19">
        <v>90.66</v>
      </c>
      <c r="O28" s="19">
        <v>86.77</v>
      </c>
      <c r="P28" s="19">
        <v>88.65</v>
      </c>
      <c r="Q28" s="19">
        <v>91.66</v>
      </c>
      <c r="R28" s="19">
        <v>93.33</v>
      </c>
      <c r="S28" s="19">
        <v>96.55</v>
      </c>
      <c r="T28" s="19">
        <v>99.85</v>
      </c>
      <c r="U28" s="19">
        <v>98.55</v>
      </c>
      <c r="V28" s="19">
        <v>94.65</v>
      </c>
      <c r="W28" s="19">
        <v>90.22</v>
      </c>
      <c r="X28" s="19">
        <v>94.11</v>
      </c>
      <c r="Y28" s="19">
        <v>94.32</v>
      </c>
      <c r="Z28" s="19">
        <v>93.33</v>
      </c>
      <c r="AA28" s="19">
        <v>87.66</v>
      </c>
    </row>
    <row r="29" s="1" customFormat="1" ht="14.25" spans="1:28">
      <c r="A29" s="15"/>
      <c r="B29" s="16"/>
      <c r="C29" s="17" t="s">
        <v>38</v>
      </c>
      <c r="D29" s="19">
        <v>78.2091</v>
      </c>
      <c r="E29" s="19">
        <v>84.3797</v>
      </c>
      <c r="F29" s="19">
        <v>84.0382</v>
      </c>
      <c r="G29" s="19">
        <v>85.0942</v>
      </c>
      <c r="H29" s="19">
        <v>85.1541</v>
      </c>
      <c r="I29" s="19">
        <v>85.0238</v>
      </c>
      <c r="J29" s="19">
        <v>85.4832</v>
      </c>
      <c r="K29" s="19">
        <v>87.8611</v>
      </c>
      <c r="L29" s="19">
        <v>99.9012</v>
      </c>
      <c r="M29" s="19">
        <v>99.1988</v>
      </c>
      <c r="N29" s="19">
        <v>97.1661</v>
      </c>
      <c r="O29" s="19">
        <v>92.7098</v>
      </c>
      <c r="P29" s="19">
        <v>94.6616</v>
      </c>
      <c r="Q29" s="19">
        <v>98.2625</v>
      </c>
      <c r="R29" s="19">
        <v>99.6213</v>
      </c>
      <c r="S29" s="19">
        <v>99.7691</v>
      </c>
      <c r="T29" s="19">
        <v>99.1162</v>
      </c>
      <c r="U29" s="19">
        <v>97.064</v>
      </c>
      <c r="V29" s="19">
        <v>94.5384</v>
      </c>
      <c r="W29" s="19">
        <v>90.3267</v>
      </c>
      <c r="X29" s="19">
        <v>92.1184</v>
      </c>
      <c r="Y29" s="19">
        <v>92.3542</v>
      </c>
      <c r="Z29" s="19">
        <v>90.7947</v>
      </c>
      <c r="AA29" s="19">
        <v>89.2971</v>
      </c>
      <c r="AB29" s="21">
        <f>MAX(F29:AA29)</f>
        <v>99.9012</v>
      </c>
    </row>
    <row r="30" s="1" customFormat="1" ht="14.25" hidden="1" spans="1:27">
      <c r="A30" s="15"/>
      <c r="B30" s="16"/>
      <c r="C30" s="17" t="s">
        <v>39</v>
      </c>
      <c r="D30" s="19">
        <f t="shared" ref="D30:AA30" si="9">D28-D29</f>
        <v>-0.68910000000001</v>
      </c>
      <c r="E30" s="19">
        <f t="shared" si="9"/>
        <v>-4.05970000000001</v>
      </c>
      <c r="F30" s="19">
        <f t="shared" si="9"/>
        <v>-3.8182</v>
      </c>
      <c r="G30" s="19">
        <f t="shared" si="9"/>
        <v>-4.3242</v>
      </c>
      <c r="H30" s="19">
        <f t="shared" si="9"/>
        <v>-2.5741</v>
      </c>
      <c r="I30" s="19">
        <f t="shared" si="9"/>
        <v>-2.91379999999999</v>
      </c>
      <c r="J30" s="19">
        <f t="shared" si="9"/>
        <v>-2.80319999999999</v>
      </c>
      <c r="K30" s="19">
        <f t="shared" si="9"/>
        <v>0.758900000000011</v>
      </c>
      <c r="L30" s="19">
        <f t="shared" si="9"/>
        <v>-1.6812</v>
      </c>
      <c r="M30" s="19">
        <f t="shared" si="9"/>
        <v>-1.61880000000001</v>
      </c>
      <c r="N30" s="19">
        <f t="shared" si="9"/>
        <v>-6.5061</v>
      </c>
      <c r="O30" s="19">
        <f t="shared" si="9"/>
        <v>-5.93980000000001</v>
      </c>
      <c r="P30" s="19">
        <f t="shared" si="9"/>
        <v>-6.0116</v>
      </c>
      <c r="Q30" s="19">
        <f t="shared" si="9"/>
        <v>-6.60250000000001</v>
      </c>
      <c r="R30" s="19">
        <f t="shared" si="9"/>
        <v>-6.29130000000001</v>
      </c>
      <c r="S30" s="19">
        <f t="shared" si="9"/>
        <v>-3.2191</v>
      </c>
      <c r="T30" s="19">
        <f t="shared" si="9"/>
        <v>0.733799999999988</v>
      </c>
      <c r="U30" s="19">
        <f t="shared" si="9"/>
        <v>1.486</v>
      </c>
      <c r="V30" s="19">
        <f t="shared" si="9"/>
        <v>0.11160000000001</v>
      </c>
      <c r="W30" s="19">
        <f t="shared" si="9"/>
        <v>-0.106700000000004</v>
      </c>
      <c r="X30" s="19">
        <f t="shared" si="9"/>
        <v>1.99160000000001</v>
      </c>
      <c r="Y30" s="19">
        <f t="shared" si="9"/>
        <v>1.96579999999999</v>
      </c>
      <c r="Z30" s="19">
        <f t="shared" si="9"/>
        <v>2.53529999999999</v>
      </c>
      <c r="AA30" s="19">
        <f t="shared" si="9"/>
        <v>-1.6371</v>
      </c>
    </row>
    <row r="31" s="1" customFormat="1" ht="20" hidden="1" customHeight="1" spans="1:27">
      <c r="A31" s="15">
        <v>46063</v>
      </c>
      <c r="B31" s="16">
        <v>4303121811816</v>
      </c>
      <c r="C31" s="17" t="s">
        <v>37</v>
      </c>
      <c r="D31" s="20">
        <v>89.65</v>
      </c>
      <c r="E31" s="20">
        <v>93.48</v>
      </c>
      <c r="F31" s="20">
        <v>93.58</v>
      </c>
      <c r="G31" s="20">
        <v>92.66</v>
      </c>
      <c r="H31" s="20">
        <v>91.68</v>
      </c>
      <c r="I31" s="20">
        <v>91.88</v>
      </c>
      <c r="J31" s="20">
        <v>90.66</v>
      </c>
      <c r="K31" s="20">
        <v>92.58</v>
      </c>
      <c r="L31" s="20">
        <v>98.33</v>
      </c>
      <c r="M31" s="20">
        <v>97.32</v>
      </c>
      <c r="N31" s="20">
        <v>90.85</v>
      </c>
      <c r="O31" s="20">
        <v>86.77</v>
      </c>
      <c r="P31" s="20">
        <v>88.32</v>
      </c>
      <c r="Q31" s="20">
        <v>91.55</v>
      </c>
      <c r="R31" s="20">
        <v>93.58</v>
      </c>
      <c r="S31" s="20">
        <v>97.58</v>
      </c>
      <c r="T31" s="20">
        <v>99.68</v>
      </c>
      <c r="U31" s="20">
        <v>98.76</v>
      </c>
      <c r="V31" s="20">
        <v>95.66</v>
      </c>
      <c r="W31" s="20">
        <v>91.25</v>
      </c>
      <c r="X31" s="20">
        <v>93.58</v>
      </c>
      <c r="Y31" s="20">
        <v>93.66</v>
      </c>
      <c r="Z31" s="20">
        <v>93.35</v>
      </c>
      <c r="AA31" s="20">
        <v>88.12</v>
      </c>
    </row>
    <row r="32" s="1" customFormat="1" ht="14.25" spans="1:28">
      <c r="A32" s="15"/>
      <c r="B32" s="16"/>
      <c r="C32" s="17" t="s">
        <v>38</v>
      </c>
      <c r="D32" s="20">
        <v>87.9771</v>
      </c>
      <c r="E32" s="20">
        <v>92.8858</v>
      </c>
      <c r="F32" s="20">
        <v>91.6724</v>
      </c>
      <c r="G32" s="20">
        <v>91.4267</v>
      </c>
      <c r="H32" s="20">
        <v>90.9741</v>
      </c>
      <c r="I32" s="20">
        <v>90.1226</v>
      </c>
      <c r="J32" s="20">
        <v>90.4394</v>
      </c>
      <c r="K32" s="20">
        <v>93.8661</v>
      </c>
      <c r="L32" s="20">
        <v>98.5635</v>
      </c>
      <c r="M32" s="20">
        <v>99.7541</v>
      </c>
      <c r="N32" s="20">
        <v>96.8176</v>
      </c>
      <c r="O32" s="20">
        <v>92.8013</v>
      </c>
      <c r="P32" s="20">
        <v>90.1419</v>
      </c>
      <c r="Q32" s="20">
        <v>96.925</v>
      </c>
      <c r="R32" s="20">
        <v>97.9405</v>
      </c>
      <c r="S32" s="20">
        <v>98.1341</v>
      </c>
      <c r="T32" s="20">
        <v>98.1781</v>
      </c>
      <c r="U32" s="20">
        <v>96.1928</v>
      </c>
      <c r="V32" s="20">
        <v>91.689</v>
      </c>
      <c r="W32" s="20">
        <v>87.699</v>
      </c>
      <c r="X32" s="20">
        <v>90.413</v>
      </c>
      <c r="Y32" s="20">
        <v>91.3053</v>
      </c>
      <c r="Z32" s="20">
        <v>87.8486</v>
      </c>
      <c r="AA32" s="20">
        <v>85.9654</v>
      </c>
      <c r="AB32" s="21">
        <f>MAX(F32:AA32)</f>
        <v>99.7541</v>
      </c>
    </row>
    <row r="33" s="1" customFormat="1" ht="14.25" hidden="1" spans="1:27">
      <c r="A33" s="15"/>
      <c r="B33" s="16"/>
      <c r="C33" s="17" t="s">
        <v>39</v>
      </c>
      <c r="D33" s="20">
        <f t="shared" ref="D33:AA33" si="10">D31-D32</f>
        <v>1.67290000000001</v>
      </c>
      <c r="E33" s="20">
        <f t="shared" si="10"/>
        <v>0.594200000000001</v>
      </c>
      <c r="F33" s="20">
        <f t="shared" si="10"/>
        <v>1.9076</v>
      </c>
      <c r="G33" s="20">
        <f t="shared" si="10"/>
        <v>1.2333</v>
      </c>
      <c r="H33" s="20">
        <f t="shared" si="10"/>
        <v>0.7059</v>
      </c>
      <c r="I33" s="20">
        <f t="shared" si="10"/>
        <v>1.75739999999999</v>
      </c>
      <c r="J33" s="20">
        <f t="shared" si="10"/>
        <v>0.22059999999999</v>
      </c>
      <c r="K33" s="20">
        <f t="shared" si="10"/>
        <v>-1.2861</v>
      </c>
      <c r="L33" s="20">
        <f t="shared" si="10"/>
        <v>-0.233500000000006</v>
      </c>
      <c r="M33" s="20">
        <f t="shared" si="10"/>
        <v>-2.4341</v>
      </c>
      <c r="N33" s="20">
        <f t="shared" si="10"/>
        <v>-5.9676</v>
      </c>
      <c r="O33" s="20">
        <f t="shared" si="10"/>
        <v>-6.0313</v>
      </c>
      <c r="P33" s="20">
        <f t="shared" si="10"/>
        <v>-1.82190000000001</v>
      </c>
      <c r="Q33" s="20">
        <f t="shared" si="10"/>
        <v>-5.375</v>
      </c>
      <c r="R33" s="20">
        <f t="shared" si="10"/>
        <v>-4.3605</v>
      </c>
      <c r="S33" s="20">
        <f t="shared" si="10"/>
        <v>-0.554100000000005</v>
      </c>
      <c r="T33" s="20">
        <f t="shared" si="10"/>
        <v>1.50190000000001</v>
      </c>
      <c r="U33" s="20">
        <f t="shared" si="10"/>
        <v>2.5672</v>
      </c>
      <c r="V33" s="20">
        <f t="shared" si="10"/>
        <v>3.971</v>
      </c>
      <c r="W33" s="20">
        <f t="shared" si="10"/>
        <v>3.551</v>
      </c>
      <c r="X33" s="20">
        <f t="shared" si="10"/>
        <v>3.167</v>
      </c>
      <c r="Y33" s="20">
        <f t="shared" si="10"/>
        <v>2.35469999999999</v>
      </c>
      <c r="Z33" s="20">
        <f t="shared" si="10"/>
        <v>5.50139999999999</v>
      </c>
      <c r="AA33" s="20">
        <f t="shared" si="10"/>
        <v>2.1546</v>
      </c>
    </row>
    <row r="34" s="1" customFormat="1" ht="20" hidden="1" customHeight="1" spans="1:27">
      <c r="A34" s="15">
        <v>46064</v>
      </c>
      <c r="B34" s="16">
        <v>4303121811816</v>
      </c>
      <c r="C34" s="17" t="s">
        <v>37</v>
      </c>
      <c r="D34" s="19">
        <v>89.66</v>
      </c>
      <c r="E34" s="19">
        <v>93.55</v>
      </c>
      <c r="F34" s="19">
        <v>93.62</v>
      </c>
      <c r="G34" s="19">
        <v>92.58</v>
      </c>
      <c r="H34" s="19">
        <v>91.72</v>
      </c>
      <c r="I34" s="19">
        <v>91.75</v>
      </c>
      <c r="J34" s="19">
        <v>90.62</v>
      </c>
      <c r="K34" s="19">
        <v>92.55</v>
      </c>
      <c r="L34" s="19">
        <v>98.27</v>
      </c>
      <c r="M34" s="19">
        <v>97.41</v>
      </c>
      <c r="N34" s="19">
        <v>90.77</v>
      </c>
      <c r="O34" s="19">
        <v>86.58</v>
      </c>
      <c r="P34" s="19">
        <v>88.45</v>
      </c>
      <c r="Q34" s="19">
        <v>91.62</v>
      </c>
      <c r="R34" s="19">
        <v>93.64</v>
      </c>
      <c r="S34" s="19">
        <v>97.55</v>
      </c>
      <c r="T34" s="19">
        <v>99.71</v>
      </c>
      <c r="U34" s="19">
        <v>98.77</v>
      </c>
      <c r="V34" s="19">
        <v>95.58</v>
      </c>
      <c r="W34" s="19">
        <v>91.33</v>
      </c>
      <c r="X34" s="19">
        <v>93.66</v>
      </c>
      <c r="Y34" s="19">
        <v>93.58</v>
      </c>
      <c r="Z34" s="19">
        <v>93.41</v>
      </c>
      <c r="AA34" s="19">
        <v>88.22</v>
      </c>
    </row>
    <row r="35" s="1" customFormat="1" ht="14.25" spans="1:28">
      <c r="A35" s="15"/>
      <c r="B35" s="16"/>
      <c r="C35" s="17" t="s">
        <v>38</v>
      </c>
      <c r="D35" s="19">
        <v>86.0658</v>
      </c>
      <c r="E35" s="19">
        <v>88.3837</v>
      </c>
      <c r="F35" s="19">
        <v>89.1956</v>
      </c>
      <c r="G35" s="19">
        <v>89.0982</v>
      </c>
      <c r="H35" s="19">
        <v>88.748</v>
      </c>
      <c r="I35" s="19">
        <v>87.5195</v>
      </c>
      <c r="J35" s="19">
        <v>86.7381</v>
      </c>
      <c r="K35" s="19">
        <v>90.9304</v>
      </c>
      <c r="L35" s="19">
        <v>92.6351</v>
      </c>
      <c r="M35" s="19">
        <v>91.9477</v>
      </c>
      <c r="N35" s="19">
        <v>87.7202</v>
      </c>
      <c r="O35" s="19">
        <v>78.4362</v>
      </c>
      <c r="P35" s="19">
        <v>76.8011</v>
      </c>
      <c r="Q35" s="19">
        <v>81.0885</v>
      </c>
      <c r="R35" s="19">
        <v>83.8094</v>
      </c>
      <c r="S35" s="19">
        <v>86.6272</v>
      </c>
      <c r="T35" s="19">
        <v>89.547</v>
      </c>
      <c r="U35" s="19">
        <v>89.0877</v>
      </c>
      <c r="V35" s="19">
        <v>87.3858</v>
      </c>
      <c r="W35" s="19">
        <v>83.8482</v>
      </c>
      <c r="X35" s="19">
        <v>85.5448</v>
      </c>
      <c r="Y35" s="19">
        <v>85.9038</v>
      </c>
      <c r="Z35" s="19">
        <v>84.2758</v>
      </c>
      <c r="AA35" s="19">
        <v>83.211</v>
      </c>
      <c r="AB35" s="21">
        <f>MAX(F35:AA35)</f>
        <v>92.6351</v>
      </c>
    </row>
    <row r="36" s="1" customFormat="1" ht="14.25" hidden="1" spans="1:27">
      <c r="A36" s="15"/>
      <c r="B36" s="16"/>
      <c r="C36" s="17" t="s">
        <v>39</v>
      </c>
      <c r="D36" s="19">
        <f t="shared" ref="D36:AA36" si="11">D34-D35</f>
        <v>3.5942</v>
      </c>
      <c r="E36" s="19">
        <f t="shared" si="11"/>
        <v>5.16629999999999</v>
      </c>
      <c r="F36" s="19">
        <f t="shared" si="11"/>
        <v>4.42440000000001</v>
      </c>
      <c r="G36" s="19">
        <f t="shared" si="11"/>
        <v>3.48179999999999</v>
      </c>
      <c r="H36" s="19">
        <f t="shared" si="11"/>
        <v>2.97199999999999</v>
      </c>
      <c r="I36" s="19">
        <f t="shared" si="11"/>
        <v>4.23050000000001</v>
      </c>
      <c r="J36" s="19">
        <f t="shared" si="11"/>
        <v>3.8819</v>
      </c>
      <c r="K36" s="19">
        <f t="shared" si="11"/>
        <v>1.61959999999999</v>
      </c>
      <c r="L36" s="19">
        <f t="shared" si="11"/>
        <v>5.6349</v>
      </c>
      <c r="M36" s="19">
        <f t="shared" si="11"/>
        <v>5.4623</v>
      </c>
      <c r="N36" s="19">
        <f t="shared" si="11"/>
        <v>3.04979999999999</v>
      </c>
      <c r="O36" s="19">
        <f t="shared" si="11"/>
        <v>8.1438</v>
      </c>
      <c r="P36" s="19">
        <f t="shared" si="11"/>
        <v>11.6489</v>
      </c>
      <c r="Q36" s="19">
        <f t="shared" si="11"/>
        <v>10.5315</v>
      </c>
      <c r="R36" s="19">
        <f t="shared" si="11"/>
        <v>9.8306</v>
      </c>
      <c r="S36" s="19">
        <f t="shared" si="11"/>
        <v>10.9228</v>
      </c>
      <c r="T36" s="19">
        <f t="shared" si="11"/>
        <v>10.163</v>
      </c>
      <c r="U36" s="19">
        <f t="shared" si="11"/>
        <v>9.6823</v>
      </c>
      <c r="V36" s="19">
        <f t="shared" si="11"/>
        <v>8.1942</v>
      </c>
      <c r="W36" s="19">
        <f t="shared" si="11"/>
        <v>7.48179999999999</v>
      </c>
      <c r="X36" s="19">
        <f t="shared" si="11"/>
        <v>8.1152</v>
      </c>
      <c r="Y36" s="19">
        <f t="shared" si="11"/>
        <v>7.67619999999999</v>
      </c>
      <c r="Z36" s="19">
        <f t="shared" si="11"/>
        <v>9.13419999999999</v>
      </c>
      <c r="AA36" s="19">
        <f t="shared" si="11"/>
        <v>5.009</v>
      </c>
    </row>
    <row r="37" s="1" customFormat="1" ht="20" hidden="1" customHeight="1" spans="1:27">
      <c r="A37" s="15">
        <v>46065</v>
      </c>
      <c r="B37" s="16">
        <v>4303121811816</v>
      </c>
      <c r="C37" s="17" t="s">
        <v>37</v>
      </c>
      <c r="D37" s="20">
        <v>89.71</v>
      </c>
      <c r="E37" s="20">
        <v>93.54</v>
      </c>
      <c r="F37" s="20">
        <v>93.66</v>
      </c>
      <c r="G37" s="20">
        <v>92.71</v>
      </c>
      <c r="H37" s="20">
        <v>91.68</v>
      </c>
      <c r="I37" s="20">
        <v>91.66</v>
      </c>
      <c r="J37" s="20">
        <v>90.58</v>
      </c>
      <c r="K37" s="20">
        <v>92.62</v>
      </c>
      <c r="L37" s="20">
        <v>98.33</v>
      </c>
      <c r="M37" s="20">
        <v>97.35</v>
      </c>
      <c r="N37" s="20">
        <v>90.58</v>
      </c>
      <c r="O37" s="20">
        <v>86.46</v>
      </c>
      <c r="P37" s="20">
        <v>88.35</v>
      </c>
      <c r="Q37" s="20">
        <v>91.55</v>
      </c>
      <c r="R37" s="20">
        <v>93.58</v>
      </c>
      <c r="S37" s="20">
        <v>97.62</v>
      </c>
      <c r="T37" s="20">
        <v>99.66</v>
      </c>
      <c r="U37" s="20">
        <v>98.68</v>
      </c>
      <c r="V37" s="20">
        <v>95.62</v>
      </c>
      <c r="W37" s="20">
        <v>91.44</v>
      </c>
      <c r="X37" s="20">
        <v>93.58</v>
      </c>
      <c r="Y37" s="20">
        <v>93.62</v>
      </c>
      <c r="Z37" s="20">
        <v>93.42</v>
      </c>
      <c r="AA37" s="20">
        <v>88.35</v>
      </c>
    </row>
    <row r="38" s="1" customFormat="1" ht="14.25" spans="1:28">
      <c r="A38" s="15"/>
      <c r="B38" s="16"/>
      <c r="C38" s="17" t="s">
        <v>38</v>
      </c>
      <c r="D38" s="20">
        <v>82.5915</v>
      </c>
      <c r="E38" s="20">
        <v>84.8179</v>
      </c>
      <c r="F38" s="20">
        <v>85.3811</v>
      </c>
      <c r="G38" s="20">
        <v>85.184</v>
      </c>
      <c r="H38" s="20">
        <v>86.5339</v>
      </c>
      <c r="I38" s="20">
        <v>84.5574</v>
      </c>
      <c r="J38" s="20">
        <v>84.1914</v>
      </c>
      <c r="K38" s="20">
        <v>87.4826</v>
      </c>
      <c r="L38" s="20">
        <v>92.1925</v>
      </c>
      <c r="M38" s="20">
        <v>91.1103</v>
      </c>
      <c r="N38" s="20">
        <v>88.9099</v>
      </c>
      <c r="O38" s="20">
        <v>84.2406</v>
      </c>
      <c r="P38" s="20">
        <v>84.6311</v>
      </c>
      <c r="Q38" s="20">
        <v>87.5125</v>
      </c>
      <c r="R38" s="20">
        <v>89.181</v>
      </c>
      <c r="S38" s="20">
        <v>88.9979</v>
      </c>
      <c r="T38" s="20">
        <v>90.3302</v>
      </c>
      <c r="U38" s="20">
        <v>87.3858</v>
      </c>
      <c r="V38" s="20">
        <v>83.6211</v>
      </c>
      <c r="W38" s="20">
        <v>81.1976</v>
      </c>
      <c r="X38" s="20">
        <v>82.6733</v>
      </c>
      <c r="Y38" s="20">
        <v>91.3437</v>
      </c>
      <c r="Z38" s="20">
        <v>80.3845</v>
      </c>
      <c r="AA38" s="20">
        <v>77.037</v>
      </c>
      <c r="AB38" s="21">
        <f>MAX(F38:AA38)</f>
        <v>92.1925</v>
      </c>
    </row>
    <row r="39" s="1" customFormat="1" ht="14.25" hidden="1" spans="1:27">
      <c r="A39" s="15"/>
      <c r="B39" s="16"/>
      <c r="C39" s="17" t="s">
        <v>39</v>
      </c>
      <c r="D39" s="20">
        <f t="shared" ref="D39:AA39" si="12">D37-D38</f>
        <v>7.1185</v>
      </c>
      <c r="E39" s="20">
        <f t="shared" si="12"/>
        <v>8.72210000000001</v>
      </c>
      <c r="F39" s="20">
        <f t="shared" si="12"/>
        <v>8.27889999999999</v>
      </c>
      <c r="G39" s="20">
        <f t="shared" si="12"/>
        <v>7.526</v>
      </c>
      <c r="H39" s="20">
        <f t="shared" si="12"/>
        <v>5.1461</v>
      </c>
      <c r="I39" s="20">
        <f t="shared" si="12"/>
        <v>7.1026</v>
      </c>
      <c r="J39" s="20">
        <f t="shared" si="12"/>
        <v>6.3886</v>
      </c>
      <c r="K39" s="20">
        <f t="shared" si="12"/>
        <v>5.1374</v>
      </c>
      <c r="L39" s="20">
        <f t="shared" si="12"/>
        <v>6.1375</v>
      </c>
      <c r="M39" s="20">
        <f t="shared" si="12"/>
        <v>6.2397</v>
      </c>
      <c r="N39" s="20">
        <f t="shared" si="12"/>
        <v>1.67010000000001</v>
      </c>
      <c r="O39" s="20">
        <f t="shared" si="12"/>
        <v>2.21939999999999</v>
      </c>
      <c r="P39" s="20">
        <f t="shared" si="12"/>
        <v>3.71889999999999</v>
      </c>
      <c r="Q39" s="20">
        <f t="shared" si="12"/>
        <v>4.03749999999999</v>
      </c>
      <c r="R39" s="20">
        <f t="shared" si="12"/>
        <v>4.399</v>
      </c>
      <c r="S39" s="20">
        <f t="shared" si="12"/>
        <v>8.6221</v>
      </c>
      <c r="T39" s="20">
        <f t="shared" si="12"/>
        <v>9.32979999999999</v>
      </c>
      <c r="U39" s="20">
        <f t="shared" si="12"/>
        <v>11.2942</v>
      </c>
      <c r="V39" s="20">
        <f t="shared" si="12"/>
        <v>11.9989</v>
      </c>
      <c r="W39" s="20">
        <f t="shared" si="12"/>
        <v>10.2424</v>
      </c>
      <c r="X39" s="20">
        <f t="shared" si="12"/>
        <v>10.9067</v>
      </c>
      <c r="Y39" s="20">
        <f t="shared" si="12"/>
        <v>2.27630000000001</v>
      </c>
      <c r="Z39" s="20">
        <f t="shared" si="12"/>
        <v>13.0355</v>
      </c>
      <c r="AA39" s="20">
        <f t="shared" si="12"/>
        <v>11.313</v>
      </c>
    </row>
    <row r="40" s="1" customFormat="1" ht="20" hidden="1" customHeight="1" spans="1:27">
      <c r="A40" s="15">
        <v>46066</v>
      </c>
      <c r="B40" s="16">
        <v>4303121811816</v>
      </c>
      <c r="C40" s="17" t="s">
        <v>37</v>
      </c>
      <c r="D40" s="19">
        <v>89.58</v>
      </c>
      <c r="E40" s="19">
        <v>93.58</v>
      </c>
      <c r="F40" s="19">
        <v>93.62</v>
      </c>
      <c r="G40" s="19">
        <v>92.66</v>
      </c>
      <c r="H40" s="19">
        <v>91.72</v>
      </c>
      <c r="I40" s="19">
        <v>91.58</v>
      </c>
      <c r="J40" s="19">
        <v>90.65</v>
      </c>
      <c r="K40" s="19">
        <v>92.54</v>
      </c>
      <c r="L40" s="19">
        <v>98.22</v>
      </c>
      <c r="M40" s="19">
        <v>97.33</v>
      </c>
      <c r="N40" s="19">
        <v>90.28</v>
      </c>
      <c r="O40" s="19">
        <v>86.77</v>
      </c>
      <c r="P40" s="19">
        <v>88.44</v>
      </c>
      <c r="Q40" s="19">
        <v>91.62</v>
      </c>
      <c r="R40" s="19">
        <v>93.66</v>
      </c>
      <c r="S40" s="19">
        <v>97.71</v>
      </c>
      <c r="T40" s="19">
        <v>99.58</v>
      </c>
      <c r="U40" s="19">
        <v>98.71</v>
      </c>
      <c r="V40" s="19">
        <v>93.22</v>
      </c>
      <c r="W40" s="19">
        <v>88.58</v>
      </c>
      <c r="X40" s="19">
        <v>87.58</v>
      </c>
      <c r="Y40" s="19">
        <v>83.62</v>
      </c>
      <c r="Z40" s="19">
        <v>84.11</v>
      </c>
      <c r="AA40" s="19">
        <v>82.18</v>
      </c>
    </row>
    <row r="41" s="1" customFormat="1" ht="14.25" spans="1:28">
      <c r="A41" s="15"/>
      <c r="B41" s="16"/>
      <c r="C41" s="17" t="s">
        <v>38</v>
      </c>
      <c r="D41" s="19">
        <v>78.6861</v>
      </c>
      <c r="E41" s="19">
        <v>80.1574</v>
      </c>
      <c r="F41" s="19">
        <v>79.1842</v>
      </c>
      <c r="G41" s="19">
        <v>79.7896</v>
      </c>
      <c r="H41" s="19">
        <v>77.9222</v>
      </c>
      <c r="I41" s="19">
        <v>75.6378</v>
      </c>
      <c r="J41" s="19">
        <v>76.2344</v>
      </c>
      <c r="K41" s="19">
        <v>78.9625</v>
      </c>
      <c r="L41" s="19">
        <v>80.8931</v>
      </c>
      <c r="M41" s="19">
        <v>80.9213</v>
      </c>
      <c r="N41" s="19">
        <v>78.723</v>
      </c>
      <c r="O41" s="19">
        <v>71.9963</v>
      </c>
      <c r="P41" s="19">
        <v>74.4533</v>
      </c>
      <c r="Q41" s="19">
        <v>76.2678</v>
      </c>
      <c r="R41" s="19">
        <v>75.2294</v>
      </c>
      <c r="S41" s="19">
        <v>73.2354</v>
      </c>
      <c r="T41" s="19">
        <v>73.3762</v>
      </c>
      <c r="U41" s="19">
        <v>69.8069</v>
      </c>
      <c r="V41" s="19">
        <v>69.6309</v>
      </c>
      <c r="W41" s="19">
        <v>64.8261</v>
      </c>
      <c r="X41" s="19">
        <v>66.7797</v>
      </c>
      <c r="Y41" s="19">
        <v>68.031</v>
      </c>
      <c r="Z41" s="19">
        <v>65.4755</v>
      </c>
      <c r="AA41" s="19">
        <v>64.3738</v>
      </c>
      <c r="AB41" s="21">
        <f>MAX(F41:AA41)</f>
        <v>80.9213</v>
      </c>
    </row>
    <row r="42" s="1" customFormat="1" ht="14.25" hidden="1" spans="1:27">
      <c r="A42" s="15"/>
      <c r="B42" s="16"/>
      <c r="C42" s="17" t="s">
        <v>39</v>
      </c>
      <c r="D42" s="19">
        <f t="shared" ref="D42:AA42" si="13">D40-D41</f>
        <v>10.8939</v>
      </c>
      <c r="E42" s="19">
        <f t="shared" si="13"/>
        <v>13.4226</v>
      </c>
      <c r="F42" s="19">
        <f t="shared" si="13"/>
        <v>14.4358</v>
      </c>
      <c r="G42" s="19">
        <f t="shared" si="13"/>
        <v>12.8704</v>
      </c>
      <c r="H42" s="19">
        <f t="shared" si="13"/>
        <v>13.7978</v>
      </c>
      <c r="I42" s="19">
        <f t="shared" si="13"/>
        <v>15.9422</v>
      </c>
      <c r="J42" s="19">
        <f t="shared" si="13"/>
        <v>14.4156</v>
      </c>
      <c r="K42" s="19">
        <f t="shared" si="13"/>
        <v>13.5775</v>
      </c>
      <c r="L42" s="19">
        <f t="shared" si="13"/>
        <v>17.3269</v>
      </c>
      <c r="M42" s="19">
        <f t="shared" si="13"/>
        <v>16.4087</v>
      </c>
      <c r="N42" s="19">
        <f t="shared" si="13"/>
        <v>11.557</v>
      </c>
      <c r="O42" s="19">
        <f t="shared" si="13"/>
        <v>14.7737</v>
      </c>
      <c r="P42" s="19">
        <f t="shared" si="13"/>
        <v>13.9867</v>
      </c>
      <c r="Q42" s="19">
        <f t="shared" si="13"/>
        <v>15.3522</v>
      </c>
      <c r="R42" s="19">
        <f t="shared" si="13"/>
        <v>18.4306</v>
      </c>
      <c r="S42" s="19">
        <f t="shared" si="13"/>
        <v>24.4746</v>
      </c>
      <c r="T42" s="19">
        <f t="shared" si="13"/>
        <v>26.2038</v>
      </c>
      <c r="U42" s="19">
        <f t="shared" si="13"/>
        <v>28.9031</v>
      </c>
      <c r="V42" s="19">
        <f t="shared" si="13"/>
        <v>23.5891</v>
      </c>
      <c r="W42" s="19">
        <f t="shared" si="13"/>
        <v>23.7539</v>
      </c>
      <c r="X42" s="19">
        <f t="shared" si="13"/>
        <v>20.8003</v>
      </c>
      <c r="Y42" s="19">
        <f t="shared" si="13"/>
        <v>15.589</v>
      </c>
      <c r="Z42" s="19">
        <f t="shared" si="13"/>
        <v>18.6345</v>
      </c>
      <c r="AA42" s="19">
        <f t="shared" si="13"/>
        <v>17.8062</v>
      </c>
    </row>
    <row r="43" s="1" customFormat="1" ht="20" hidden="1" customHeight="1" spans="1:27">
      <c r="A43" s="15">
        <v>46067</v>
      </c>
      <c r="B43" s="16">
        <v>4303121811816</v>
      </c>
      <c r="C43" s="17" t="s">
        <v>37</v>
      </c>
      <c r="D43" s="20">
        <v>76.33</v>
      </c>
      <c r="E43" s="20">
        <v>79.58</v>
      </c>
      <c r="F43" s="20">
        <v>81.66</v>
      </c>
      <c r="G43" s="20">
        <v>81.54</v>
      </c>
      <c r="H43" s="20">
        <v>80.62</v>
      </c>
      <c r="I43" s="20">
        <v>75.22</v>
      </c>
      <c r="J43" s="20">
        <v>71.58</v>
      </c>
      <c r="K43" s="20">
        <v>62.55</v>
      </c>
      <c r="L43" s="20">
        <v>67.21</v>
      </c>
      <c r="M43" s="20">
        <v>68.22</v>
      </c>
      <c r="N43" s="20">
        <v>60.11</v>
      </c>
      <c r="O43" s="20">
        <v>57.25</v>
      </c>
      <c r="P43" s="20">
        <v>58.28</v>
      </c>
      <c r="Q43" s="20">
        <v>61.41</v>
      </c>
      <c r="R43" s="20">
        <v>63.52</v>
      </c>
      <c r="S43" s="20">
        <v>66.33</v>
      </c>
      <c r="T43" s="20">
        <v>68.85</v>
      </c>
      <c r="U43" s="20">
        <v>67.69</v>
      </c>
      <c r="V43" s="20">
        <v>63.34</v>
      </c>
      <c r="W43" s="20">
        <v>68.44</v>
      </c>
      <c r="X43" s="20">
        <v>67.22</v>
      </c>
      <c r="Y43" s="20">
        <v>63.28</v>
      </c>
      <c r="Z43" s="20">
        <v>63.66</v>
      </c>
      <c r="AA43" s="20">
        <v>62.18</v>
      </c>
    </row>
    <row r="44" s="1" customFormat="1" ht="14.25" spans="1:28">
      <c r="A44" s="15"/>
      <c r="B44" s="16"/>
      <c r="C44" s="17" t="s">
        <v>38</v>
      </c>
      <c r="D44" s="20">
        <v>63.5659</v>
      </c>
      <c r="E44" s="20">
        <v>64.152</v>
      </c>
      <c r="F44" s="20">
        <v>65.3365</v>
      </c>
      <c r="G44" s="20">
        <v>64.2488</v>
      </c>
      <c r="H44" s="20">
        <v>62.4832</v>
      </c>
      <c r="I44" s="20">
        <v>61.6774</v>
      </c>
      <c r="J44" s="20">
        <v>61.0437</v>
      </c>
      <c r="K44" s="20">
        <v>60.4542</v>
      </c>
      <c r="L44" s="20">
        <v>56.7852</v>
      </c>
      <c r="M44" s="20">
        <v>51.0506</v>
      </c>
      <c r="N44" s="20">
        <v>47.7875</v>
      </c>
      <c r="O44" s="20">
        <v>43.9419</v>
      </c>
      <c r="P44" s="20">
        <v>42.6466</v>
      </c>
      <c r="Q44" s="20">
        <v>44.9662</v>
      </c>
      <c r="R44" s="20">
        <v>43.3717</v>
      </c>
      <c r="S44" s="20">
        <v>41.7718</v>
      </c>
      <c r="T44" s="20">
        <v>39.6845</v>
      </c>
      <c r="U44" s="20">
        <v>39.035</v>
      </c>
      <c r="V44" s="20">
        <v>37.9917</v>
      </c>
      <c r="W44" s="20">
        <v>36.6661</v>
      </c>
      <c r="X44" s="20">
        <v>35.5397</v>
      </c>
      <c r="Y44" s="20">
        <v>34.4502</v>
      </c>
      <c r="Z44" s="20">
        <v>32.8293</v>
      </c>
      <c r="AA44" s="20">
        <v>31.2453</v>
      </c>
      <c r="AB44" s="21">
        <f>MAX(F44:AA44)</f>
        <v>65.3365</v>
      </c>
    </row>
    <row r="45" s="1" customFormat="1" ht="14.25" hidden="1" spans="1:27">
      <c r="A45" s="15"/>
      <c r="B45" s="16"/>
      <c r="C45" s="17" t="s">
        <v>39</v>
      </c>
      <c r="D45" s="20">
        <f t="shared" ref="D45:AA45" si="14">D43-D44</f>
        <v>12.7641</v>
      </c>
      <c r="E45" s="20">
        <f t="shared" si="14"/>
        <v>15.428</v>
      </c>
      <c r="F45" s="20">
        <f t="shared" si="14"/>
        <v>16.3235</v>
      </c>
      <c r="G45" s="20">
        <f t="shared" si="14"/>
        <v>17.2912</v>
      </c>
      <c r="H45" s="20">
        <f t="shared" si="14"/>
        <v>18.1368</v>
      </c>
      <c r="I45" s="20">
        <f t="shared" si="14"/>
        <v>13.5426</v>
      </c>
      <c r="J45" s="20">
        <f t="shared" si="14"/>
        <v>10.5363</v>
      </c>
      <c r="K45" s="20">
        <f t="shared" si="14"/>
        <v>2.0958</v>
      </c>
      <c r="L45" s="20">
        <f t="shared" si="14"/>
        <v>10.4248</v>
      </c>
      <c r="M45" s="20">
        <f t="shared" si="14"/>
        <v>17.1694</v>
      </c>
      <c r="N45" s="20">
        <f t="shared" si="14"/>
        <v>12.3225</v>
      </c>
      <c r="O45" s="20">
        <f t="shared" si="14"/>
        <v>13.3081</v>
      </c>
      <c r="P45" s="20">
        <f t="shared" si="14"/>
        <v>15.6334</v>
      </c>
      <c r="Q45" s="20">
        <f t="shared" si="14"/>
        <v>16.4438</v>
      </c>
      <c r="R45" s="20">
        <f t="shared" si="14"/>
        <v>20.1483</v>
      </c>
      <c r="S45" s="20">
        <f t="shared" si="14"/>
        <v>24.5582</v>
      </c>
      <c r="T45" s="20">
        <f t="shared" si="14"/>
        <v>29.1655</v>
      </c>
      <c r="U45" s="20">
        <f t="shared" si="14"/>
        <v>28.655</v>
      </c>
      <c r="V45" s="20">
        <f t="shared" si="14"/>
        <v>25.3483</v>
      </c>
      <c r="W45" s="20">
        <f t="shared" si="14"/>
        <v>31.7739</v>
      </c>
      <c r="X45" s="20">
        <f t="shared" si="14"/>
        <v>31.6803</v>
      </c>
      <c r="Y45" s="20">
        <f t="shared" si="14"/>
        <v>28.8298</v>
      </c>
      <c r="Z45" s="20">
        <f t="shared" si="14"/>
        <v>30.8307</v>
      </c>
      <c r="AA45" s="20">
        <f t="shared" si="14"/>
        <v>30.9347</v>
      </c>
    </row>
    <row r="46" s="1" customFormat="1" ht="20" hidden="1" customHeight="1" spans="1:27">
      <c r="A46" s="15">
        <v>46068</v>
      </c>
      <c r="B46" s="16">
        <v>4303121811816</v>
      </c>
      <c r="C46" s="17" t="s">
        <v>37</v>
      </c>
      <c r="D46" s="19">
        <v>66.58</v>
      </c>
      <c r="E46" s="19">
        <v>67.11</v>
      </c>
      <c r="F46" s="19">
        <v>68.58</v>
      </c>
      <c r="G46" s="19">
        <v>67.58</v>
      </c>
      <c r="H46" s="19">
        <v>66.34</v>
      </c>
      <c r="I46" s="19">
        <v>58.62</v>
      </c>
      <c r="J46" s="19">
        <v>54.23</v>
      </c>
      <c r="K46" s="19">
        <v>32.15</v>
      </c>
      <c r="L46" s="19">
        <v>32.33</v>
      </c>
      <c r="M46" s="19">
        <v>31.18</v>
      </c>
      <c r="N46" s="19">
        <v>28.62</v>
      </c>
      <c r="O46" s="19">
        <v>26.22</v>
      </c>
      <c r="P46" s="19">
        <v>25.62</v>
      </c>
      <c r="Q46" s="19">
        <v>26.31</v>
      </c>
      <c r="R46" s="19">
        <v>25.28</v>
      </c>
      <c r="S46" s="19">
        <v>26.34</v>
      </c>
      <c r="T46" s="19">
        <v>25.33</v>
      </c>
      <c r="U46" s="19">
        <v>23.62</v>
      </c>
      <c r="V46" s="19">
        <v>20.62</v>
      </c>
      <c r="W46" s="19">
        <v>16.25</v>
      </c>
      <c r="X46" s="19">
        <v>15.33</v>
      </c>
      <c r="Y46" s="19">
        <v>15.41</v>
      </c>
      <c r="Z46" s="19">
        <v>15.33</v>
      </c>
      <c r="AA46" s="19">
        <v>15.18</v>
      </c>
    </row>
    <row r="47" s="1" customFormat="1" ht="14.25" spans="1:28">
      <c r="A47" s="15"/>
      <c r="B47" s="16"/>
      <c r="C47" s="17" t="s">
        <v>38</v>
      </c>
      <c r="D47" s="19">
        <v>31.4618</v>
      </c>
      <c r="E47" s="19">
        <v>30.6715</v>
      </c>
      <c r="F47" s="19">
        <v>30.2667</v>
      </c>
      <c r="G47" s="19">
        <v>28.6352</v>
      </c>
      <c r="H47" s="19">
        <v>27.4507</v>
      </c>
      <c r="I47" s="19">
        <v>26.9984</v>
      </c>
      <c r="J47" s="19">
        <v>25.6802</v>
      </c>
      <c r="K47" s="19">
        <v>23.1123</v>
      </c>
      <c r="L47" s="19">
        <v>19.5166</v>
      </c>
      <c r="M47" s="19">
        <v>16.1674</v>
      </c>
      <c r="N47" s="19">
        <v>13.3514</v>
      </c>
      <c r="O47" s="19">
        <v>12.2589</v>
      </c>
      <c r="P47" s="19">
        <v>13.8653</v>
      </c>
      <c r="Q47" s="19">
        <v>11.9539</v>
      </c>
      <c r="R47" s="19">
        <v>11.7498</v>
      </c>
      <c r="S47" s="19">
        <v>11.6054</v>
      </c>
      <c r="T47" s="19">
        <v>10.4242</v>
      </c>
      <c r="U47" s="19">
        <v>10.3189</v>
      </c>
      <c r="V47" s="19">
        <v>10.3382</v>
      </c>
      <c r="W47" s="19">
        <v>9.9792</v>
      </c>
      <c r="X47" s="19">
        <v>10.2186</v>
      </c>
      <c r="Y47" s="19">
        <v>9.39312</v>
      </c>
      <c r="Z47" s="19">
        <v>9.36144</v>
      </c>
      <c r="AA47" s="19">
        <v>9.79968</v>
      </c>
      <c r="AB47" s="21">
        <f>MAX(F47:AA47)</f>
        <v>30.2667</v>
      </c>
    </row>
    <row r="48" s="1" customFormat="1" ht="14.25" hidden="1" spans="1:27">
      <c r="A48" s="15"/>
      <c r="B48" s="16"/>
      <c r="C48" s="17" t="s">
        <v>39</v>
      </c>
      <c r="D48" s="19">
        <f t="shared" ref="D48:AA48" si="15">D46-D47</f>
        <v>35.1182</v>
      </c>
      <c r="E48" s="19">
        <f t="shared" si="15"/>
        <v>36.4385</v>
      </c>
      <c r="F48" s="19">
        <f t="shared" si="15"/>
        <v>38.3133</v>
      </c>
      <c r="G48" s="19">
        <f t="shared" si="15"/>
        <v>38.9448</v>
      </c>
      <c r="H48" s="19">
        <f t="shared" si="15"/>
        <v>38.8893</v>
      </c>
      <c r="I48" s="19">
        <f t="shared" si="15"/>
        <v>31.6216</v>
      </c>
      <c r="J48" s="19">
        <f t="shared" si="15"/>
        <v>28.5498</v>
      </c>
      <c r="K48" s="19">
        <f t="shared" si="15"/>
        <v>9.0377</v>
      </c>
      <c r="L48" s="19">
        <f t="shared" si="15"/>
        <v>12.8134</v>
      </c>
      <c r="M48" s="19">
        <f t="shared" si="15"/>
        <v>15.0126</v>
      </c>
      <c r="N48" s="19">
        <f t="shared" si="15"/>
        <v>15.2686</v>
      </c>
      <c r="O48" s="19">
        <f t="shared" si="15"/>
        <v>13.9611</v>
      </c>
      <c r="P48" s="19">
        <f t="shared" si="15"/>
        <v>11.7547</v>
      </c>
      <c r="Q48" s="19">
        <f t="shared" si="15"/>
        <v>14.3561</v>
      </c>
      <c r="R48" s="19">
        <f t="shared" si="15"/>
        <v>13.5302</v>
      </c>
      <c r="S48" s="19">
        <f t="shared" si="15"/>
        <v>14.7346</v>
      </c>
      <c r="T48" s="19">
        <f t="shared" si="15"/>
        <v>14.9058</v>
      </c>
      <c r="U48" s="19">
        <f t="shared" si="15"/>
        <v>13.3011</v>
      </c>
      <c r="V48" s="19">
        <f t="shared" si="15"/>
        <v>10.2818</v>
      </c>
      <c r="W48" s="19">
        <f t="shared" si="15"/>
        <v>6.2708</v>
      </c>
      <c r="X48" s="19">
        <f t="shared" si="15"/>
        <v>5.1114</v>
      </c>
      <c r="Y48" s="19">
        <f t="shared" si="15"/>
        <v>6.01688</v>
      </c>
      <c r="Z48" s="19">
        <f t="shared" si="15"/>
        <v>5.96856</v>
      </c>
      <c r="AA48" s="19">
        <f t="shared" si="15"/>
        <v>5.38032</v>
      </c>
    </row>
    <row r="49" s="1" customFormat="1" ht="20" hidden="1" customHeight="1" spans="1:27">
      <c r="A49" s="15">
        <v>46069</v>
      </c>
      <c r="B49" s="16">
        <v>4303121811816</v>
      </c>
      <c r="C49" s="17" t="s">
        <v>37</v>
      </c>
      <c r="D49" s="20">
        <v>15.62</v>
      </c>
      <c r="E49" s="20">
        <v>15.22</v>
      </c>
      <c r="F49" s="20">
        <v>15.12</v>
      </c>
      <c r="G49" s="20">
        <v>15.32</v>
      </c>
      <c r="H49" s="20">
        <v>15.12</v>
      </c>
      <c r="I49" s="20">
        <v>13.12</v>
      </c>
      <c r="J49" s="20">
        <v>13.22</v>
      </c>
      <c r="K49" s="20">
        <v>13.25</v>
      </c>
      <c r="L49" s="20">
        <v>13.11</v>
      </c>
      <c r="M49" s="20">
        <v>13.08</v>
      </c>
      <c r="N49" s="20">
        <v>13.11</v>
      </c>
      <c r="O49" s="20">
        <v>12.98</v>
      </c>
      <c r="P49" s="20">
        <v>12.87</v>
      </c>
      <c r="Q49" s="20">
        <v>12.84</v>
      </c>
      <c r="R49" s="20">
        <v>12.65</v>
      </c>
      <c r="S49" s="20">
        <v>12.66</v>
      </c>
      <c r="T49" s="20">
        <v>12.32</v>
      </c>
      <c r="U49" s="20">
        <v>13.62</v>
      </c>
      <c r="V49" s="20">
        <v>13.55</v>
      </c>
      <c r="W49" s="20">
        <v>13.22</v>
      </c>
      <c r="X49" s="20">
        <v>13.54</v>
      </c>
      <c r="Y49" s="20">
        <v>13.43</v>
      </c>
      <c r="Z49" s="20">
        <v>13.36</v>
      </c>
      <c r="AA49" s="20">
        <v>13.41</v>
      </c>
    </row>
    <row r="50" s="1" customFormat="1" ht="14.25" spans="1:28">
      <c r="A50" s="15"/>
      <c r="B50" s="16"/>
      <c r="C50" s="17" t="s">
        <v>38</v>
      </c>
      <c r="D50" s="20">
        <v>10.3101</v>
      </c>
      <c r="E50" s="20">
        <v>9.812</v>
      </c>
      <c r="F50" s="20">
        <v>9.38808</v>
      </c>
      <c r="G50" s="20">
        <v>9.43008</v>
      </c>
      <c r="H50" s="20">
        <v>9.416</v>
      </c>
      <c r="I50" s="20">
        <v>9.29984</v>
      </c>
      <c r="J50" s="20">
        <v>10.032</v>
      </c>
      <c r="K50" s="20">
        <v>9.3392</v>
      </c>
      <c r="L50" s="20">
        <v>9.23546</v>
      </c>
      <c r="M50" s="20">
        <v>9.09392</v>
      </c>
      <c r="N50" s="20">
        <v>9.59024</v>
      </c>
      <c r="O50" s="20">
        <v>8.66648</v>
      </c>
      <c r="P50" s="20">
        <v>8.75072</v>
      </c>
      <c r="Q50" s="20">
        <v>8.39872</v>
      </c>
      <c r="R50" s="20">
        <v>9.07808</v>
      </c>
      <c r="S50" s="20">
        <v>8.93376</v>
      </c>
      <c r="T50" s="20">
        <v>8.93376</v>
      </c>
      <c r="U50" s="20">
        <v>8.95961</v>
      </c>
      <c r="V50" s="20">
        <v>9.03936</v>
      </c>
      <c r="W50" s="20">
        <v>9.2664</v>
      </c>
      <c r="X50" s="20">
        <v>9.73808</v>
      </c>
      <c r="Y50" s="20">
        <v>9.8912</v>
      </c>
      <c r="Z50" s="20">
        <v>9.61136</v>
      </c>
      <c r="AA50" s="20">
        <v>9.56208</v>
      </c>
      <c r="AB50" s="21">
        <f>MAX(F50:AA50)</f>
        <v>10.032</v>
      </c>
    </row>
    <row r="51" s="1" customFormat="1" ht="14.25" hidden="1" spans="1:27">
      <c r="A51" s="15"/>
      <c r="B51" s="16"/>
      <c r="C51" s="17" t="s">
        <v>39</v>
      </c>
      <c r="D51" s="20">
        <f t="shared" ref="D51:AA51" si="16">D49-D50</f>
        <v>5.3099</v>
      </c>
      <c r="E51" s="20">
        <f t="shared" si="16"/>
        <v>5.408</v>
      </c>
      <c r="F51" s="20">
        <f t="shared" si="16"/>
        <v>5.73192</v>
      </c>
      <c r="G51" s="20">
        <f t="shared" si="16"/>
        <v>5.88992</v>
      </c>
      <c r="H51" s="20">
        <f t="shared" si="16"/>
        <v>5.704</v>
      </c>
      <c r="I51" s="20">
        <f t="shared" si="16"/>
        <v>3.82016</v>
      </c>
      <c r="J51" s="20">
        <f t="shared" si="16"/>
        <v>3.188</v>
      </c>
      <c r="K51" s="20">
        <f t="shared" si="16"/>
        <v>3.9108</v>
      </c>
      <c r="L51" s="20">
        <f t="shared" si="16"/>
        <v>3.87454</v>
      </c>
      <c r="M51" s="20">
        <f t="shared" si="16"/>
        <v>3.98608</v>
      </c>
      <c r="N51" s="20">
        <f t="shared" si="16"/>
        <v>3.51976</v>
      </c>
      <c r="O51" s="20">
        <f t="shared" si="16"/>
        <v>4.31352</v>
      </c>
      <c r="P51" s="20">
        <f t="shared" si="16"/>
        <v>4.11928</v>
      </c>
      <c r="Q51" s="20">
        <f t="shared" si="16"/>
        <v>4.44128</v>
      </c>
      <c r="R51" s="20">
        <f t="shared" si="16"/>
        <v>3.57192</v>
      </c>
      <c r="S51" s="20">
        <f t="shared" si="16"/>
        <v>3.72624</v>
      </c>
      <c r="T51" s="20">
        <f t="shared" si="16"/>
        <v>3.38624</v>
      </c>
      <c r="U51" s="20">
        <f t="shared" si="16"/>
        <v>4.66039</v>
      </c>
      <c r="V51" s="20">
        <f t="shared" si="16"/>
        <v>4.51064</v>
      </c>
      <c r="W51" s="20">
        <f t="shared" si="16"/>
        <v>3.9536</v>
      </c>
      <c r="X51" s="20">
        <f t="shared" si="16"/>
        <v>3.80192</v>
      </c>
      <c r="Y51" s="20">
        <f t="shared" si="16"/>
        <v>3.5388</v>
      </c>
      <c r="Z51" s="20">
        <f t="shared" si="16"/>
        <v>3.74864</v>
      </c>
      <c r="AA51" s="20">
        <f t="shared" si="16"/>
        <v>3.84792</v>
      </c>
    </row>
    <row r="52" s="1" customFormat="1" ht="20" hidden="1" customHeight="1" spans="1:27">
      <c r="A52" s="15">
        <v>46070</v>
      </c>
      <c r="B52" s="16">
        <v>4303121811816</v>
      </c>
      <c r="C52" s="17" t="s">
        <v>37</v>
      </c>
      <c r="D52" s="19">
        <v>13.77</v>
      </c>
      <c r="E52" s="19">
        <v>13.58</v>
      </c>
      <c r="F52" s="19">
        <v>13.66</v>
      </c>
      <c r="G52" s="19">
        <v>13.74</v>
      </c>
      <c r="H52" s="19">
        <v>13.78</v>
      </c>
      <c r="I52" s="19">
        <v>14.22</v>
      </c>
      <c r="J52" s="19">
        <v>14.68</v>
      </c>
      <c r="K52" s="19">
        <v>15.11</v>
      </c>
      <c r="L52" s="19">
        <v>15.25</v>
      </c>
      <c r="M52" s="19">
        <v>15.33</v>
      </c>
      <c r="N52" s="19">
        <v>14.58</v>
      </c>
      <c r="O52" s="19">
        <v>14.68</v>
      </c>
      <c r="P52" s="19">
        <v>14.33</v>
      </c>
      <c r="Q52" s="19">
        <v>15.31</v>
      </c>
      <c r="R52" s="19">
        <v>15.28</v>
      </c>
      <c r="S52" s="19">
        <v>15.11</v>
      </c>
      <c r="T52" s="19">
        <v>15.21</v>
      </c>
      <c r="U52" s="19">
        <v>14.98</v>
      </c>
      <c r="V52" s="19">
        <v>14.67</v>
      </c>
      <c r="W52" s="19">
        <v>14.58</v>
      </c>
      <c r="X52" s="19">
        <v>15.12</v>
      </c>
      <c r="Y52" s="19">
        <v>15.33</v>
      </c>
      <c r="Z52" s="19">
        <v>15.25</v>
      </c>
      <c r="AA52" s="19">
        <v>15.32</v>
      </c>
    </row>
    <row r="53" s="1" customFormat="1" ht="14.25" spans="1:28">
      <c r="A53" s="15"/>
      <c r="B53" s="16"/>
      <c r="C53" s="17" t="s">
        <v>38</v>
      </c>
      <c r="D53" s="19">
        <v>10.201</v>
      </c>
      <c r="E53" s="19">
        <v>9.36672</v>
      </c>
      <c r="F53" s="19">
        <v>9.78032</v>
      </c>
      <c r="G53" s="19">
        <v>9.78952</v>
      </c>
      <c r="H53" s="19">
        <v>9.67369</v>
      </c>
      <c r="I53" s="19">
        <v>9.67648</v>
      </c>
      <c r="J53" s="19">
        <v>9.2312</v>
      </c>
      <c r="K53" s="19">
        <v>9.2664</v>
      </c>
      <c r="L53" s="19">
        <v>9.63248</v>
      </c>
      <c r="M53" s="19">
        <v>8.9056</v>
      </c>
      <c r="N53" s="19">
        <v>9.07456</v>
      </c>
      <c r="O53" s="19">
        <v>8.24384</v>
      </c>
      <c r="P53" s="19">
        <v>8.18564</v>
      </c>
      <c r="Q53" s="19">
        <v>7.3568</v>
      </c>
      <c r="R53" s="19">
        <v>6.29376</v>
      </c>
      <c r="S53" s="19">
        <v>7.925828</v>
      </c>
      <c r="T53" s="19">
        <v>8.5712</v>
      </c>
      <c r="U53" s="19">
        <v>9.08864</v>
      </c>
      <c r="V53" s="19">
        <v>9.46</v>
      </c>
      <c r="W53" s="19">
        <v>9.46704</v>
      </c>
      <c r="X53" s="19">
        <v>9.34736</v>
      </c>
      <c r="Y53" s="19">
        <v>9.22064</v>
      </c>
      <c r="Z53" s="19">
        <v>9.284</v>
      </c>
      <c r="AA53" s="19">
        <v>9.11856</v>
      </c>
      <c r="AB53" s="21">
        <f>MAX(F53:AA53)</f>
        <v>9.78952</v>
      </c>
    </row>
    <row r="54" s="1" customFormat="1" ht="14.25" hidden="1" spans="1:27">
      <c r="A54" s="15"/>
      <c r="B54" s="16"/>
      <c r="C54" s="17" t="s">
        <v>39</v>
      </c>
      <c r="D54" s="19">
        <f t="shared" ref="D54:AA54" si="17">D52-D53</f>
        <v>3.569</v>
      </c>
      <c r="E54" s="19">
        <f t="shared" si="17"/>
        <v>4.21328</v>
      </c>
      <c r="F54" s="19">
        <f t="shared" si="17"/>
        <v>3.87968</v>
      </c>
      <c r="G54" s="19">
        <f t="shared" si="17"/>
        <v>3.95048</v>
      </c>
      <c r="H54" s="19">
        <f t="shared" si="17"/>
        <v>4.10631</v>
      </c>
      <c r="I54" s="19">
        <f t="shared" si="17"/>
        <v>4.54352</v>
      </c>
      <c r="J54" s="19">
        <f t="shared" si="17"/>
        <v>5.4488</v>
      </c>
      <c r="K54" s="19">
        <f t="shared" si="17"/>
        <v>5.8436</v>
      </c>
      <c r="L54" s="19">
        <f t="shared" si="17"/>
        <v>5.61752</v>
      </c>
      <c r="M54" s="19">
        <f t="shared" si="17"/>
        <v>6.4244</v>
      </c>
      <c r="N54" s="19">
        <f t="shared" si="17"/>
        <v>5.50544</v>
      </c>
      <c r="O54" s="19">
        <f t="shared" si="17"/>
        <v>6.43616</v>
      </c>
      <c r="P54" s="19">
        <f t="shared" si="17"/>
        <v>6.14436</v>
      </c>
      <c r="Q54" s="19">
        <f t="shared" si="17"/>
        <v>7.9532</v>
      </c>
      <c r="R54" s="19">
        <f t="shared" si="17"/>
        <v>8.98624</v>
      </c>
      <c r="S54" s="19">
        <f t="shared" si="17"/>
        <v>7.184172</v>
      </c>
      <c r="T54" s="19">
        <f t="shared" si="17"/>
        <v>6.6388</v>
      </c>
      <c r="U54" s="19">
        <f t="shared" si="17"/>
        <v>5.89136</v>
      </c>
      <c r="V54" s="19">
        <f t="shared" si="17"/>
        <v>5.21</v>
      </c>
      <c r="W54" s="19">
        <f t="shared" si="17"/>
        <v>5.11296</v>
      </c>
      <c r="X54" s="19">
        <f t="shared" si="17"/>
        <v>5.77264</v>
      </c>
      <c r="Y54" s="19">
        <f t="shared" si="17"/>
        <v>6.10936</v>
      </c>
      <c r="Z54" s="19">
        <f t="shared" si="17"/>
        <v>5.966</v>
      </c>
      <c r="AA54" s="19">
        <f t="shared" si="17"/>
        <v>6.20144</v>
      </c>
    </row>
    <row r="55" s="1" customFormat="1" ht="20" hidden="1" customHeight="1" spans="1:27">
      <c r="A55" s="15">
        <v>46071</v>
      </c>
      <c r="B55" s="16">
        <v>4303121811816</v>
      </c>
      <c r="C55" s="17" t="s">
        <v>37</v>
      </c>
      <c r="D55" s="20">
        <v>15.22</v>
      </c>
      <c r="E55" s="20">
        <v>15.18</v>
      </c>
      <c r="F55" s="20">
        <v>15.33</v>
      </c>
      <c r="G55" s="20">
        <v>15.11</v>
      </c>
      <c r="H55" s="20">
        <v>15.21</v>
      </c>
      <c r="I55" s="20">
        <v>14.87</v>
      </c>
      <c r="J55" s="20">
        <v>14.68</v>
      </c>
      <c r="K55" s="20">
        <v>14.55</v>
      </c>
      <c r="L55" s="20">
        <v>3.62</v>
      </c>
      <c r="M55" s="20">
        <v>3.55</v>
      </c>
      <c r="N55" s="20">
        <v>3.22</v>
      </c>
      <c r="O55" s="20">
        <v>3.18</v>
      </c>
      <c r="P55" s="20">
        <v>3.32</v>
      </c>
      <c r="Q55" s="20">
        <v>3.11</v>
      </c>
      <c r="R55" s="20">
        <v>3.18</v>
      </c>
      <c r="S55" s="20">
        <v>3.21</v>
      </c>
      <c r="T55" s="20">
        <v>3.12</v>
      </c>
      <c r="U55" s="20">
        <v>3.04</v>
      </c>
      <c r="V55" s="20">
        <v>3.21</v>
      </c>
      <c r="W55" s="20">
        <v>3.12</v>
      </c>
      <c r="X55" s="20">
        <v>3.11</v>
      </c>
      <c r="Y55" s="20">
        <v>3.21</v>
      </c>
      <c r="Z55" s="20">
        <v>3.15</v>
      </c>
      <c r="AA55" s="20">
        <v>3.14</v>
      </c>
    </row>
    <row r="56" s="1" customFormat="1" ht="14.25" spans="1:28">
      <c r="A56" s="15"/>
      <c r="B56" s="16"/>
      <c r="C56" s="17" t="s">
        <v>38</v>
      </c>
      <c r="D56" s="20">
        <v>9.24176</v>
      </c>
      <c r="E56" s="20">
        <v>9.284</v>
      </c>
      <c r="F56" s="20">
        <v>9.36672</v>
      </c>
      <c r="G56" s="20">
        <v>9.65184</v>
      </c>
      <c r="H56" s="20">
        <v>9.42128</v>
      </c>
      <c r="I56" s="20">
        <v>9.08864</v>
      </c>
      <c r="J56" s="20">
        <v>8.75072</v>
      </c>
      <c r="K56" s="20">
        <v>8.54128</v>
      </c>
      <c r="L56" s="20">
        <v>5.87121</v>
      </c>
      <c r="M56" s="20">
        <v>4.43235</v>
      </c>
      <c r="N56" s="20">
        <v>4.23361</v>
      </c>
      <c r="O56" s="20">
        <v>4.23533</v>
      </c>
      <c r="P56" s="20">
        <v>4.25332</v>
      </c>
      <c r="Q56" s="20">
        <v>4.62176</v>
      </c>
      <c r="R56" s="20">
        <v>4.52345</v>
      </c>
      <c r="S56" s="20">
        <v>4.41584</v>
      </c>
      <c r="T56" s="20">
        <v>4.35231</v>
      </c>
      <c r="U56" s="20">
        <v>4.2333</v>
      </c>
      <c r="V56" s="20">
        <v>4.53321</v>
      </c>
      <c r="W56" s="20">
        <v>4.312</v>
      </c>
      <c r="X56" s="20">
        <v>4.648</v>
      </c>
      <c r="Y56" s="20">
        <v>4.795</v>
      </c>
      <c r="Z56" s="20">
        <v>4.697</v>
      </c>
      <c r="AA56" s="20">
        <v>4.67632</v>
      </c>
      <c r="AB56" s="21">
        <f>MAX(F56:AA56)</f>
        <v>9.65184</v>
      </c>
    </row>
    <row r="57" s="1" customFormat="1" ht="14.25" hidden="1" spans="1:27">
      <c r="A57" s="15"/>
      <c r="B57" s="16"/>
      <c r="C57" s="17" t="s">
        <v>39</v>
      </c>
      <c r="D57" s="20">
        <f t="shared" ref="D57:AA57" si="18">D55-D56</f>
        <v>5.97824</v>
      </c>
      <c r="E57" s="20">
        <f t="shared" si="18"/>
        <v>5.896</v>
      </c>
      <c r="F57" s="20">
        <f t="shared" si="18"/>
        <v>5.96328</v>
      </c>
      <c r="G57" s="20">
        <f t="shared" si="18"/>
        <v>5.45816</v>
      </c>
      <c r="H57" s="20">
        <f t="shared" si="18"/>
        <v>5.78872</v>
      </c>
      <c r="I57" s="20">
        <f t="shared" si="18"/>
        <v>5.78136</v>
      </c>
      <c r="J57" s="20">
        <f t="shared" si="18"/>
        <v>5.92928</v>
      </c>
      <c r="K57" s="20">
        <f t="shared" si="18"/>
        <v>6.00872</v>
      </c>
      <c r="L57" s="20">
        <f t="shared" si="18"/>
        <v>-2.25121</v>
      </c>
      <c r="M57" s="20">
        <f t="shared" si="18"/>
        <v>-0.88235</v>
      </c>
      <c r="N57" s="20">
        <f t="shared" si="18"/>
        <v>-1.01361</v>
      </c>
      <c r="O57" s="20">
        <f t="shared" si="18"/>
        <v>-1.05533</v>
      </c>
      <c r="P57" s="20">
        <f t="shared" si="18"/>
        <v>-0.933320000000001</v>
      </c>
      <c r="Q57" s="20">
        <f t="shared" si="18"/>
        <v>-1.51176</v>
      </c>
      <c r="R57" s="20">
        <f t="shared" si="18"/>
        <v>-1.34345</v>
      </c>
      <c r="S57" s="20">
        <f t="shared" si="18"/>
        <v>-1.20584</v>
      </c>
      <c r="T57" s="20">
        <f t="shared" si="18"/>
        <v>-1.23231</v>
      </c>
      <c r="U57" s="20">
        <f t="shared" si="18"/>
        <v>-1.1933</v>
      </c>
      <c r="V57" s="20">
        <f t="shared" si="18"/>
        <v>-1.32321</v>
      </c>
      <c r="W57" s="20">
        <f t="shared" si="18"/>
        <v>-1.192</v>
      </c>
      <c r="X57" s="20">
        <f t="shared" si="18"/>
        <v>-1.538</v>
      </c>
      <c r="Y57" s="20">
        <f t="shared" si="18"/>
        <v>-1.585</v>
      </c>
      <c r="Z57" s="20">
        <f t="shared" si="18"/>
        <v>-1.547</v>
      </c>
      <c r="AA57" s="20">
        <f t="shared" si="18"/>
        <v>-1.53632</v>
      </c>
    </row>
    <row r="58" s="1" customFormat="1" ht="20" hidden="1" customHeight="1" spans="1:27">
      <c r="A58" s="15">
        <v>46072</v>
      </c>
      <c r="B58" s="16">
        <v>4303121811816</v>
      </c>
      <c r="C58" s="17" t="s">
        <v>37</v>
      </c>
      <c r="D58" s="19">
        <v>5.11</v>
      </c>
      <c r="E58" s="19">
        <v>5.12</v>
      </c>
      <c r="F58" s="19">
        <v>5.21</v>
      </c>
      <c r="G58" s="19">
        <v>5.18</v>
      </c>
      <c r="H58" s="19">
        <v>5.14</v>
      </c>
      <c r="I58" s="19">
        <v>5.12</v>
      </c>
      <c r="J58" s="19">
        <v>5.44</v>
      </c>
      <c r="K58" s="19">
        <v>13.22</v>
      </c>
      <c r="L58" s="19">
        <v>14.55</v>
      </c>
      <c r="M58" s="19">
        <v>15.22</v>
      </c>
      <c r="N58" s="19">
        <v>15.12</v>
      </c>
      <c r="O58" s="19">
        <v>15.31</v>
      </c>
      <c r="P58" s="19">
        <v>15.22</v>
      </c>
      <c r="Q58" s="19">
        <v>15.12</v>
      </c>
      <c r="R58" s="19">
        <v>15.21</v>
      </c>
      <c r="S58" s="19">
        <v>15.18</v>
      </c>
      <c r="T58" s="19">
        <v>15.12</v>
      </c>
      <c r="U58" s="19">
        <v>15.33</v>
      </c>
      <c r="V58" s="19">
        <v>15.21</v>
      </c>
      <c r="W58" s="19">
        <v>15.14</v>
      </c>
      <c r="X58" s="19">
        <v>15.11</v>
      </c>
      <c r="Y58" s="19">
        <v>15.14</v>
      </c>
      <c r="Z58" s="19">
        <v>15.21</v>
      </c>
      <c r="AA58" s="19">
        <v>15.18</v>
      </c>
    </row>
    <row r="59" s="1" customFormat="1" ht="14.25" spans="1:28">
      <c r="A59" s="15"/>
      <c r="B59" s="16"/>
      <c r="C59" s="17" t="s">
        <v>38</v>
      </c>
      <c r="D59" s="19">
        <v>4.487</v>
      </c>
      <c r="E59" s="19">
        <v>4.769</v>
      </c>
      <c r="F59" s="19">
        <v>5.764</v>
      </c>
      <c r="G59" s="19">
        <v>6.45</v>
      </c>
      <c r="H59" s="19">
        <v>7.5</v>
      </c>
      <c r="I59" s="19">
        <v>7</v>
      </c>
      <c r="J59" s="19">
        <v>5.33232</v>
      </c>
      <c r="K59" s="19">
        <v>7.5113</v>
      </c>
      <c r="L59" s="19">
        <v>8.25422</v>
      </c>
      <c r="M59" s="19">
        <v>7.48235</v>
      </c>
      <c r="N59" s="19">
        <v>8.06608</v>
      </c>
      <c r="O59" s="19">
        <v>7.69296</v>
      </c>
      <c r="P59" s="19">
        <v>7.80209</v>
      </c>
      <c r="Q59" s="19">
        <v>7.05936</v>
      </c>
      <c r="R59" s="19">
        <v>5.14955</v>
      </c>
      <c r="S59" s="19">
        <v>5.67072</v>
      </c>
      <c r="T59" s="19">
        <v>7.6296</v>
      </c>
      <c r="U59" s="19">
        <v>9.52864</v>
      </c>
      <c r="V59" s="19">
        <v>9.99856</v>
      </c>
      <c r="W59" s="19">
        <v>10.09888</v>
      </c>
      <c r="X59" s="19">
        <v>10.67264</v>
      </c>
      <c r="Y59" s="19">
        <v>10.30832</v>
      </c>
      <c r="Z59" s="19">
        <v>11.132</v>
      </c>
      <c r="AA59" s="19">
        <v>11.44176</v>
      </c>
      <c r="AB59" s="21">
        <f>MAX(F59:AA59)</f>
        <v>11.44176</v>
      </c>
    </row>
    <row r="60" s="1" customFormat="1" ht="14.25" hidden="1" spans="1:27">
      <c r="A60" s="15"/>
      <c r="B60" s="16"/>
      <c r="C60" s="17" t="s">
        <v>39</v>
      </c>
      <c r="D60" s="19">
        <f t="shared" ref="D60:AA60" si="19">D58-D59</f>
        <v>0.623</v>
      </c>
      <c r="E60" s="19">
        <f t="shared" si="19"/>
        <v>0.351</v>
      </c>
      <c r="F60" s="19">
        <f t="shared" si="19"/>
        <v>-0.554</v>
      </c>
      <c r="G60" s="19">
        <f t="shared" si="19"/>
        <v>-1.27</v>
      </c>
      <c r="H60" s="19">
        <f t="shared" si="19"/>
        <v>-2.36</v>
      </c>
      <c r="I60" s="19">
        <f t="shared" si="19"/>
        <v>-1.88</v>
      </c>
      <c r="J60" s="19">
        <f t="shared" si="19"/>
        <v>0.10768</v>
      </c>
      <c r="K60" s="19">
        <f t="shared" si="19"/>
        <v>5.7087</v>
      </c>
      <c r="L60" s="19">
        <f t="shared" si="19"/>
        <v>6.29578</v>
      </c>
      <c r="M60" s="19">
        <f t="shared" si="19"/>
        <v>7.73765</v>
      </c>
      <c r="N60" s="19">
        <f t="shared" si="19"/>
        <v>7.05392</v>
      </c>
      <c r="O60" s="19">
        <f t="shared" si="19"/>
        <v>7.61704</v>
      </c>
      <c r="P60" s="19">
        <f t="shared" si="19"/>
        <v>7.41791</v>
      </c>
      <c r="Q60" s="19">
        <f t="shared" si="19"/>
        <v>8.06064</v>
      </c>
      <c r="R60" s="19">
        <f t="shared" si="19"/>
        <v>10.06045</v>
      </c>
      <c r="S60" s="19">
        <f t="shared" si="19"/>
        <v>9.50928</v>
      </c>
      <c r="T60" s="19">
        <f t="shared" si="19"/>
        <v>7.4904</v>
      </c>
      <c r="U60" s="19">
        <f t="shared" si="19"/>
        <v>5.80136</v>
      </c>
      <c r="V60" s="19">
        <f t="shared" si="19"/>
        <v>5.21144</v>
      </c>
      <c r="W60" s="19">
        <f t="shared" si="19"/>
        <v>5.04112</v>
      </c>
      <c r="X60" s="19">
        <f t="shared" si="19"/>
        <v>4.43736</v>
      </c>
      <c r="Y60" s="19">
        <f t="shared" si="19"/>
        <v>4.83168</v>
      </c>
      <c r="Z60" s="19">
        <f t="shared" si="19"/>
        <v>4.078</v>
      </c>
      <c r="AA60" s="19">
        <f t="shared" si="19"/>
        <v>3.73824</v>
      </c>
    </row>
    <row r="61" s="1" customFormat="1" ht="20" hidden="1" customHeight="1" spans="1:27">
      <c r="A61" s="15">
        <v>46073</v>
      </c>
      <c r="B61" s="16">
        <v>4303121811816</v>
      </c>
      <c r="C61" s="17" t="s">
        <v>37</v>
      </c>
      <c r="D61" s="20">
        <v>15.11</v>
      </c>
      <c r="E61" s="20">
        <v>15.12</v>
      </c>
      <c r="F61" s="20">
        <v>15.24</v>
      </c>
      <c r="G61" s="20">
        <v>15.15</v>
      </c>
      <c r="H61" s="20">
        <v>15.14</v>
      </c>
      <c r="I61" s="20">
        <v>15.21</v>
      </c>
      <c r="J61" s="20">
        <v>15.66</v>
      </c>
      <c r="K61" s="20">
        <v>36.22</v>
      </c>
      <c r="L61" s="20">
        <v>36.55</v>
      </c>
      <c r="M61" s="20">
        <v>35.48</v>
      </c>
      <c r="N61" s="20">
        <v>36.54</v>
      </c>
      <c r="O61" s="20">
        <v>33.25</v>
      </c>
      <c r="P61" s="20">
        <v>32.16</v>
      </c>
      <c r="Q61" s="20">
        <v>34.58</v>
      </c>
      <c r="R61" s="20">
        <v>35.24</v>
      </c>
      <c r="S61" s="20">
        <v>36.79</v>
      </c>
      <c r="T61" s="20">
        <v>37.54</v>
      </c>
      <c r="U61" s="20">
        <v>36.83</v>
      </c>
      <c r="V61" s="20">
        <v>35.49</v>
      </c>
      <c r="W61" s="20">
        <v>34.73</v>
      </c>
      <c r="X61" s="20">
        <v>35.64</v>
      </c>
      <c r="Y61" s="20">
        <v>36.71</v>
      </c>
      <c r="Z61" s="20">
        <v>36.14</v>
      </c>
      <c r="AA61" s="20">
        <v>34.08</v>
      </c>
    </row>
    <row r="62" s="1" customFormat="1" ht="14.25" spans="1:28">
      <c r="A62" s="15"/>
      <c r="B62" s="16"/>
      <c r="C62" s="17" t="s">
        <v>38</v>
      </c>
      <c r="D62" s="20">
        <v>12.30944</v>
      </c>
      <c r="E62" s="20">
        <v>14.58336</v>
      </c>
      <c r="F62" s="20">
        <v>16.21312</v>
      </c>
      <c r="G62" s="20">
        <v>16.69536</v>
      </c>
      <c r="H62" s="20">
        <v>12.84161</v>
      </c>
      <c r="I62" s="20">
        <v>16.66544</v>
      </c>
      <c r="J62" s="20">
        <v>17.93088</v>
      </c>
      <c r="K62" s="20">
        <v>17.96784</v>
      </c>
      <c r="L62" s="20">
        <v>17.4205</v>
      </c>
      <c r="M62" s="20">
        <v>17.80797</v>
      </c>
      <c r="N62" s="20">
        <v>30.72145</v>
      </c>
      <c r="O62" s="20">
        <v>34.75334</v>
      </c>
      <c r="P62" s="20">
        <v>29.78287</v>
      </c>
      <c r="Q62" s="20">
        <v>30.78066</v>
      </c>
      <c r="R62" s="20">
        <v>32.3084</v>
      </c>
      <c r="S62" s="20">
        <v>37.115</v>
      </c>
      <c r="T62" s="20">
        <v>41.18407</v>
      </c>
      <c r="U62" s="20">
        <v>42.31055</v>
      </c>
      <c r="V62" s="20">
        <v>42.64311</v>
      </c>
      <c r="W62" s="20">
        <v>41.1136</v>
      </c>
      <c r="X62" s="20">
        <v>44.0352</v>
      </c>
      <c r="Y62" s="20">
        <v>45.0842</v>
      </c>
      <c r="Z62" s="20">
        <v>46.2458</v>
      </c>
      <c r="AA62" s="20">
        <v>44.9539</v>
      </c>
      <c r="AB62" s="21">
        <f>MAX(F62:AA62)</f>
        <v>46.2458</v>
      </c>
    </row>
    <row r="63" s="1" customFormat="1" ht="14.25" hidden="1" spans="1:27">
      <c r="A63" s="15"/>
      <c r="B63" s="16"/>
      <c r="C63" s="17" t="s">
        <v>39</v>
      </c>
      <c r="D63" s="20">
        <f t="shared" ref="D63:AA63" si="20">D61-D62</f>
        <v>2.80056</v>
      </c>
      <c r="E63" s="20">
        <f t="shared" si="20"/>
        <v>0.536639999999998</v>
      </c>
      <c r="F63" s="20">
        <f t="shared" si="20"/>
        <v>-0.97312</v>
      </c>
      <c r="G63" s="20">
        <f t="shared" si="20"/>
        <v>-1.54536</v>
      </c>
      <c r="H63" s="20">
        <f t="shared" si="20"/>
        <v>2.29839</v>
      </c>
      <c r="I63" s="20">
        <f t="shared" si="20"/>
        <v>-1.45544</v>
      </c>
      <c r="J63" s="20">
        <f t="shared" si="20"/>
        <v>-2.27088</v>
      </c>
      <c r="K63" s="20">
        <f t="shared" si="20"/>
        <v>18.25216</v>
      </c>
      <c r="L63" s="20">
        <f t="shared" si="20"/>
        <v>19.1295</v>
      </c>
      <c r="M63" s="20">
        <f t="shared" si="20"/>
        <v>17.67203</v>
      </c>
      <c r="N63" s="20">
        <f t="shared" si="20"/>
        <v>5.81855</v>
      </c>
      <c r="O63" s="20">
        <f t="shared" si="20"/>
        <v>-1.50334</v>
      </c>
      <c r="P63" s="20">
        <f t="shared" si="20"/>
        <v>2.37713</v>
      </c>
      <c r="Q63" s="20">
        <f t="shared" si="20"/>
        <v>3.79934</v>
      </c>
      <c r="R63" s="20">
        <f t="shared" si="20"/>
        <v>2.9316</v>
      </c>
      <c r="S63" s="20">
        <f t="shared" si="20"/>
        <v>-0.325000000000003</v>
      </c>
      <c r="T63" s="20">
        <f t="shared" si="20"/>
        <v>-3.64407</v>
      </c>
      <c r="U63" s="20">
        <f t="shared" si="20"/>
        <v>-5.48055</v>
      </c>
      <c r="V63" s="20">
        <f t="shared" si="20"/>
        <v>-7.15311</v>
      </c>
      <c r="W63" s="20">
        <f t="shared" si="20"/>
        <v>-6.3836</v>
      </c>
      <c r="X63" s="20">
        <f t="shared" si="20"/>
        <v>-8.3952</v>
      </c>
      <c r="Y63" s="20">
        <f t="shared" si="20"/>
        <v>-8.3742</v>
      </c>
      <c r="Z63" s="20">
        <f t="shared" si="20"/>
        <v>-10.1058</v>
      </c>
      <c r="AA63" s="20">
        <f t="shared" si="20"/>
        <v>-10.8739</v>
      </c>
    </row>
    <row r="64" s="1" customFormat="1" ht="20" hidden="1" customHeight="1" spans="1:27">
      <c r="A64" s="15">
        <v>46074</v>
      </c>
      <c r="B64" s="16">
        <v>4303121811816</v>
      </c>
      <c r="C64" s="17" t="s">
        <v>37</v>
      </c>
      <c r="D64" s="19">
        <v>35.15</v>
      </c>
      <c r="E64" s="19">
        <v>36.48</v>
      </c>
      <c r="F64" s="19">
        <v>36.79</v>
      </c>
      <c r="G64" s="19">
        <v>37.12</v>
      </c>
      <c r="H64" s="19">
        <v>36.54</v>
      </c>
      <c r="I64" s="19">
        <v>36.13</v>
      </c>
      <c r="J64" s="19">
        <v>35.48</v>
      </c>
      <c r="K64" s="19">
        <v>42.53</v>
      </c>
      <c r="L64" s="19">
        <v>42.36</v>
      </c>
      <c r="M64" s="19">
        <v>43.59</v>
      </c>
      <c r="N64" s="19">
        <v>44.12</v>
      </c>
      <c r="O64" s="19">
        <v>42.38</v>
      </c>
      <c r="P64" s="19">
        <v>41.59</v>
      </c>
      <c r="Q64" s="19">
        <v>43.54</v>
      </c>
      <c r="R64" s="19">
        <v>44.12</v>
      </c>
      <c r="S64" s="19">
        <v>45.08</v>
      </c>
      <c r="T64" s="19">
        <v>45.37</v>
      </c>
      <c r="U64" s="19">
        <v>45.23</v>
      </c>
      <c r="V64" s="19">
        <v>44.51</v>
      </c>
      <c r="W64" s="19">
        <v>45.06</v>
      </c>
      <c r="X64" s="19">
        <v>46.38</v>
      </c>
      <c r="Y64" s="19">
        <v>46.72</v>
      </c>
      <c r="Z64" s="19">
        <v>46.39</v>
      </c>
      <c r="AA64" s="19">
        <v>45.24</v>
      </c>
    </row>
    <row r="65" s="1" customFormat="1" ht="14.25" spans="1:28">
      <c r="A65" s="15"/>
      <c r="B65" s="16"/>
      <c r="C65" s="17" t="s">
        <v>38</v>
      </c>
      <c r="D65" s="19">
        <v>43.604</v>
      </c>
      <c r="E65" s="19">
        <v>45.4538</v>
      </c>
      <c r="F65" s="19">
        <v>45.723</v>
      </c>
      <c r="G65" s="19">
        <v>46.3901</v>
      </c>
      <c r="H65" s="19">
        <v>46.3337</v>
      </c>
      <c r="I65" s="19">
        <v>45.6861</v>
      </c>
      <c r="J65" s="19">
        <v>45.32</v>
      </c>
      <c r="K65" s="19">
        <v>45.0078</v>
      </c>
      <c r="L65" s="19">
        <v>52.9518</v>
      </c>
      <c r="M65" s="19">
        <v>51.543</v>
      </c>
      <c r="N65" s="19">
        <v>55.212</v>
      </c>
      <c r="O65" s="19">
        <v>52.5219</v>
      </c>
      <c r="P65" s="19">
        <v>54.9877</v>
      </c>
      <c r="Q65" s="19">
        <v>57.3425</v>
      </c>
      <c r="R65" s="19">
        <v>54.8839</v>
      </c>
      <c r="S65" s="19">
        <v>56.2584</v>
      </c>
      <c r="T65" s="19">
        <v>57.9145</v>
      </c>
      <c r="U65" s="19">
        <v>59.0867</v>
      </c>
      <c r="V65" s="19">
        <v>59.7221</v>
      </c>
      <c r="W65" s="19">
        <v>57.131</v>
      </c>
      <c r="X65" s="19">
        <v>62.4852</v>
      </c>
      <c r="Y65" s="19">
        <v>63.103</v>
      </c>
      <c r="Z65" s="19">
        <v>63.346</v>
      </c>
      <c r="AA65" s="19">
        <v>60.2289</v>
      </c>
      <c r="AB65" s="21">
        <f>MAX(F65:AA65)</f>
        <v>63.346</v>
      </c>
    </row>
    <row r="66" s="1" customFormat="1" ht="14.25" hidden="1" spans="1:27">
      <c r="A66" s="15"/>
      <c r="B66" s="16"/>
      <c r="C66" s="17" t="s">
        <v>39</v>
      </c>
      <c r="D66" s="19">
        <f t="shared" ref="D66:AA66" si="21">D64-D65</f>
        <v>-8.454</v>
      </c>
      <c r="E66" s="19">
        <f t="shared" si="21"/>
        <v>-8.9738</v>
      </c>
      <c r="F66" s="19">
        <f t="shared" si="21"/>
        <v>-8.933</v>
      </c>
      <c r="G66" s="19">
        <f t="shared" si="21"/>
        <v>-9.2701</v>
      </c>
      <c r="H66" s="19">
        <f t="shared" si="21"/>
        <v>-9.7937</v>
      </c>
      <c r="I66" s="19">
        <f t="shared" si="21"/>
        <v>-9.5561</v>
      </c>
      <c r="J66" s="19">
        <f t="shared" si="21"/>
        <v>-9.84</v>
      </c>
      <c r="K66" s="19">
        <f t="shared" si="21"/>
        <v>-2.4778</v>
      </c>
      <c r="L66" s="19">
        <f t="shared" si="21"/>
        <v>-10.5918</v>
      </c>
      <c r="M66" s="19">
        <f t="shared" si="21"/>
        <v>-7.953</v>
      </c>
      <c r="N66" s="19">
        <f t="shared" si="21"/>
        <v>-11.092</v>
      </c>
      <c r="O66" s="19">
        <f t="shared" si="21"/>
        <v>-10.1419</v>
      </c>
      <c r="P66" s="19">
        <f t="shared" si="21"/>
        <v>-13.3977</v>
      </c>
      <c r="Q66" s="19">
        <f t="shared" si="21"/>
        <v>-13.8025</v>
      </c>
      <c r="R66" s="19">
        <f t="shared" si="21"/>
        <v>-10.7639</v>
      </c>
      <c r="S66" s="19">
        <f t="shared" si="21"/>
        <v>-11.1784</v>
      </c>
      <c r="T66" s="19">
        <f t="shared" si="21"/>
        <v>-12.5445</v>
      </c>
      <c r="U66" s="19">
        <f t="shared" si="21"/>
        <v>-13.8567</v>
      </c>
      <c r="V66" s="19">
        <f t="shared" si="21"/>
        <v>-15.2121</v>
      </c>
      <c r="W66" s="19">
        <f t="shared" si="21"/>
        <v>-12.071</v>
      </c>
      <c r="X66" s="19">
        <f t="shared" si="21"/>
        <v>-16.1052</v>
      </c>
      <c r="Y66" s="19">
        <f t="shared" si="21"/>
        <v>-16.383</v>
      </c>
      <c r="Z66" s="19">
        <f t="shared" si="21"/>
        <v>-16.956</v>
      </c>
      <c r="AA66" s="19">
        <f t="shared" si="21"/>
        <v>-14.9889</v>
      </c>
    </row>
    <row r="67" s="1" customFormat="1" ht="20" hidden="1" customHeight="1" spans="1:27">
      <c r="A67" s="15">
        <v>46075</v>
      </c>
      <c r="B67" s="16">
        <v>4303121811816</v>
      </c>
      <c r="C67" s="17" t="s">
        <v>37</v>
      </c>
      <c r="D67" s="20">
        <v>45.38</v>
      </c>
      <c r="E67" s="20">
        <v>46.49</v>
      </c>
      <c r="F67" s="20">
        <v>47.12</v>
      </c>
      <c r="G67" s="20">
        <v>48.58</v>
      </c>
      <c r="H67" s="20">
        <v>47.35</v>
      </c>
      <c r="I67" s="20">
        <v>46.29</v>
      </c>
      <c r="J67" s="20">
        <v>45.63</v>
      </c>
      <c r="K67" s="20">
        <v>46.72</v>
      </c>
      <c r="L67" s="20">
        <v>55.62</v>
      </c>
      <c r="M67" s="20">
        <v>56.28</v>
      </c>
      <c r="N67" s="20">
        <v>52.18</v>
      </c>
      <c r="O67" s="20">
        <v>51.33</v>
      </c>
      <c r="P67" s="20">
        <v>52.41</v>
      </c>
      <c r="Q67" s="20">
        <v>55.68</v>
      </c>
      <c r="R67" s="20">
        <v>56.28</v>
      </c>
      <c r="S67" s="20">
        <v>56.33</v>
      </c>
      <c r="T67" s="20">
        <v>56.28</v>
      </c>
      <c r="U67" s="20">
        <v>56.87</v>
      </c>
      <c r="V67" s="20">
        <v>56.81</v>
      </c>
      <c r="W67" s="20">
        <v>54.33</v>
      </c>
      <c r="X67" s="20">
        <v>56.71</v>
      </c>
      <c r="Y67" s="20">
        <v>56.77</v>
      </c>
      <c r="Z67" s="20">
        <v>56.68</v>
      </c>
      <c r="AA67" s="20">
        <v>56.45</v>
      </c>
    </row>
    <row r="68" s="1" customFormat="1" ht="20" customHeight="1" spans="1:28">
      <c r="A68" s="15"/>
      <c r="B68" s="16"/>
      <c r="C68" s="17" t="s">
        <v>38</v>
      </c>
      <c r="D68" s="20">
        <v>61.8535</v>
      </c>
      <c r="E68" s="20">
        <v>63.2175</v>
      </c>
      <c r="F68" s="20">
        <v>62.0013</v>
      </c>
      <c r="G68" s="20">
        <v>63.5255</v>
      </c>
      <c r="H68" s="20">
        <v>64.0851</v>
      </c>
      <c r="I68" s="20">
        <v>62.7088</v>
      </c>
      <c r="J68" s="20">
        <v>61.6616</v>
      </c>
      <c r="K68" s="20">
        <v>60.0418</v>
      </c>
      <c r="L68" s="20">
        <v>60.3409</v>
      </c>
      <c r="M68" s="20">
        <v>58.036</v>
      </c>
      <c r="N68" s="20">
        <v>58.5481</v>
      </c>
      <c r="O68" s="20">
        <v>52.7102</v>
      </c>
      <c r="P68" s="20">
        <v>55.2103</v>
      </c>
      <c r="Q68" s="20">
        <v>56.2853</v>
      </c>
      <c r="R68" s="20">
        <v>56.8409</v>
      </c>
      <c r="S68" s="20">
        <v>59.84</v>
      </c>
      <c r="T68" s="20">
        <v>63.0344</v>
      </c>
      <c r="U68" s="20">
        <v>65.1182</v>
      </c>
      <c r="V68" s="20">
        <v>62.927</v>
      </c>
      <c r="W68" s="20">
        <v>62.0875</v>
      </c>
      <c r="X68" s="20">
        <v>64.9475</v>
      </c>
      <c r="Y68" s="20">
        <v>65.3981</v>
      </c>
      <c r="Z68" s="20">
        <v>65.3981</v>
      </c>
      <c r="AA68" s="20">
        <v>62.6666</v>
      </c>
      <c r="AB68" s="21">
        <f>MAX(F68:AA68)</f>
        <v>65.3981</v>
      </c>
    </row>
    <row r="69" s="1" customFormat="1" ht="20" hidden="1" customHeight="1" spans="1:27">
      <c r="A69" s="15"/>
      <c r="B69" s="16"/>
      <c r="C69" s="17" t="s">
        <v>39</v>
      </c>
      <c r="D69" s="20">
        <f t="shared" ref="D69:AA69" si="22">D67-D68</f>
        <v>-16.4735</v>
      </c>
      <c r="E69" s="20">
        <f t="shared" si="22"/>
        <v>-16.7275</v>
      </c>
      <c r="F69" s="20">
        <f t="shared" si="22"/>
        <v>-14.8813</v>
      </c>
      <c r="G69" s="20">
        <f t="shared" si="22"/>
        <v>-14.9455</v>
      </c>
      <c r="H69" s="20">
        <f t="shared" si="22"/>
        <v>-16.7351</v>
      </c>
      <c r="I69" s="20">
        <f t="shared" si="22"/>
        <v>-16.4188</v>
      </c>
      <c r="J69" s="20">
        <f t="shared" si="22"/>
        <v>-16.0316</v>
      </c>
      <c r="K69" s="20">
        <f t="shared" si="22"/>
        <v>-13.3218</v>
      </c>
      <c r="L69" s="20">
        <f t="shared" si="22"/>
        <v>-4.7209</v>
      </c>
      <c r="M69" s="20">
        <f t="shared" si="22"/>
        <v>-1.756</v>
      </c>
      <c r="N69" s="20">
        <f t="shared" si="22"/>
        <v>-6.3681</v>
      </c>
      <c r="O69" s="20">
        <f t="shared" si="22"/>
        <v>-1.3802</v>
      </c>
      <c r="P69" s="20">
        <f t="shared" si="22"/>
        <v>-2.8003</v>
      </c>
      <c r="Q69" s="20">
        <f t="shared" si="22"/>
        <v>-0.6053</v>
      </c>
      <c r="R69" s="20">
        <f t="shared" si="22"/>
        <v>-0.560899999999997</v>
      </c>
      <c r="S69" s="20">
        <f t="shared" si="22"/>
        <v>-3.51</v>
      </c>
      <c r="T69" s="20">
        <f t="shared" si="22"/>
        <v>-6.7544</v>
      </c>
      <c r="U69" s="20">
        <f t="shared" si="22"/>
        <v>-8.2482</v>
      </c>
      <c r="V69" s="20">
        <f t="shared" si="22"/>
        <v>-6.117</v>
      </c>
      <c r="W69" s="20">
        <f t="shared" si="22"/>
        <v>-7.7575</v>
      </c>
      <c r="X69" s="20">
        <f t="shared" si="22"/>
        <v>-8.2375</v>
      </c>
      <c r="Y69" s="20">
        <f t="shared" si="22"/>
        <v>-8.6281</v>
      </c>
      <c r="Z69" s="20">
        <f t="shared" si="22"/>
        <v>-8.7181</v>
      </c>
      <c r="AA69" s="20">
        <f t="shared" si="22"/>
        <v>-6.2166</v>
      </c>
    </row>
    <row r="70" s="1" customFormat="1" ht="20" hidden="1" customHeight="1" spans="1:27">
      <c r="A70" s="15">
        <v>46076</v>
      </c>
      <c r="B70" s="16">
        <v>4303121811816</v>
      </c>
      <c r="C70" s="17" t="s">
        <v>37</v>
      </c>
      <c r="D70" s="19">
        <v>55.41</v>
      </c>
      <c r="E70" s="19">
        <v>56.58</v>
      </c>
      <c r="F70" s="19">
        <v>56.32</v>
      </c>
      <c r="G70" s="19">
        <v>56.24</v>
      </c>
      <c r="H70" s="19">
        <v>56.81</v>
      </c>
      <c r="I70" s="19">
        <v>56.77</v>
      </c>
      <c r="J70" s="19">
        <v>57.21</v>
      </c>
      <c r="K70" s="19">
        <v>62.62</v>
      </c>
      <c r="L70" s="19">
        <v>68.28</v>
      </c>
      <c r="M70" s="19">
        <v>68.33</v>
      </c>
      <c r="N70" s="19">
        <v>66.33</v>
      </c>
      <c r="O70" s="19">
        <v>66.48</v>
      </c>
      <c r="P70" s="19">
        <v>66.22</v>
      </c>
      <c r="Q70" s="19">
        <v>68.31</v>
      </c>
      <c r="R70" s="19">
        <v>68.28</v>
      </c>
      <c r="S70" s="19">
        <v>68.66</v>
      </c>
      <c r="T70" s="19">
        <v>69.23</v>
      </c>
      <c r="U70" s="19">
        <v>69.84</v>
      </c>
      <c r="V70" s="19">
        <v>67.58</v>
      </c>
      <c r="W70" s="19">
        <v>66.28</v>
      </c>
      <c r="X70" s="19">
        <v>68.45</v>
      </c>
      <c r="Y70" s="19">
        <v>68.66</v>
      </c>
      <c r="Z70" s="19">
        <v>69.38</v>
      </c>
      <c r="AA70" s="19">
        <v>67.58</v>
      </c>
    </row>
    <row r="71" s="1" customFormat="1" ht="20" customHeight="1" spans="1:28">
      <c r="A71" s="15"/>
      <c r="B71" s="16"/>
      <c r="C71" s="17" t="s">
        <v>38</v>
      </c>
      <c r="D71" s="19">
        <v>61.8535</v>
      </c>
      <c r="E71" s="19">
        <v>63.2175</v>
      </c>
      <c r="F71" s="19">
        <v>62.0013</v>
      </c>
      <c r="G71" s="19">
        <v>63.5255</v>
      </c>
      <c r="H71" s="19">
        <v>64.0851</v>
      </c>
      <c r="I71" s="19">
        <v>62.7088</v>
      </c>
      <c r="J71" s="19">
        <v>64.3315</v>
      </c>
      <c r="K71" s="19">
        <v>67.4045</v>
      </c>
      <c r="L71" s="19">
        <v>78.5928</v>
      </c>
      <c r="M71" s="19">
        <v>78.2901</v>
      </c>
      <c r="N71" s="19">
        <v>80.0694</v>
      </c>
      <c r="O71" s="19">
        <v>75.4359</v>
      </c>
      <c r="P71" s="19">
        <v>75.9757</v>
      </c>
      <c r="Q71" s="19">
        <v>79.4568</v>
      </c>
      <c r="R71" s="19">
        <v>82.6725</v>
      </c>
      <c r="S71" s="19">
        <v>82.9418</v>
      </c>
      <c r="T71" s="19">
        <v>83.076</v>
      </c>
      <c r="U71" s="19">
        <v>80.7382</v>
      </c>
      <c r="V71" s="19">
        <v>78.7967</v>
      </c>
      <c r="W71" s="19">
        <v>77.271</v>
      </c>
      <c r="X71" s="19">
        <v>80.3018</v>
      </c>
      <c r="Y71" s="19">
        <v>81.4475</v>
      </c>
      <c r="Z71" s="19">
        <v>78.9431</v>
      </c>
      <c r="AA71" s="19">
        <v>76.6515</v>
      </c>
      <c r="AB71" s="21">
        <f>MAX(F71:AA71)</f>
        <v>83.076</v>
      </c>
    </row>
    <row r="72" s="1" customFormat="1" ht="20" hidden="1" customHeight="1" spans="1:27">
      <c r="A72" s="15"/>
      <c r="B72" s="16"/>
      <c r="C72" s="17" t="s">
        <v>39</v>
      </c>
      <c r="D72" s="19">
        <f t="shared" ref="D72:AA72" si="23">D70-D71</f>
        <v>-6.4435</v>
      </c>
      <c r="E72" s="19">
        <f t="shared" si="23"/>
        <v>-6.6375</v>
      </c>
      <c r="F72" s="19">
        <f t="shared" si="23"/>
        <v>-5.6813</v>
      </c>
      <c r="G72" s="19">
        <f t="shared" si="23"/>
        <v>-7.2855</v>
      </c>
      <c r="H72" s="19">
        <f t="shared" si="23"/>
        <v>-7.27509999999999</v>
      </c>
      <c r="I72" s="19">
        <f t="shared" si="23"/>
        <v>-5.93879999999999</v>
      </c>
      <c r="J72" s="19">
        <f t="shared" si="23"/>
        <v>-7.1215</v>
      </c>
      <c r="K72" s="19">
        <f t="shared" si="23"/>
        <v>-4.7845</v>
      </c>
      <c r="L72" s="19">
        <f t="shared" si="23"/>
        <v>-10.3128</v>
      </c>
      <c r="M72" s="19">
        <f t="shared" si="23"/>
        <v>-9.9601</v>
      </c>
      <c r="N72" s="19">
        <f t="shared" si="23"/>
        <v>-13.7394</v>
      </c>
      <c r="O72" s="19">
        <f t="shared" si="23"/>
        <v>-8.9559</v>
      </c>
      <c r="P72" s="19">
        <f t="shared" si="23"/>
        <v>-9.7557</v>
      </c>
      <c r="Q72" s="19">
        <f t="shared" si="23"/>
        <v>-11.1468</v>
      </c>
      <c r="R72" s="19">
        <f t="shared" si="23"/>
        <v>-14.3925</v>
      </c>
      <c r="S72" s="19">
        <f t="shared" si="23"/>
        <v>-14.2818</v>
      </c>
      <c r="T72" s="19">
        <f t="shared" si="23"/>
        <v>-13.846</v>
      </c>
      <c r="U72" s="19">
        <f t="shared" si="23"/>
        <v>-10.8982</v>
      </c>
      <c r="V72" s="19">
        <f t="shared" si="23"/>
        <v>-11.2167</v>
      </c>
      <c r="W72" s="19">
        <f t="shared" si="23"/>
        <v>-10.991</v>
      </c>
      <c r="X72" s="19">
        <f t="shared" si="23"/>
        <v>-11.8518</v>
      </c>
      <c r="Y72" s="19">
        <f t="shared" si="23"/>
        <v>-12.7875</v>
      </c>
      <c r="Z72" s="19">
        <f t="shared" si="23"/>
        <v>-9.56310000000001</v>
      </c>
      <c r="AA72" s="19">
        <f t="shared" si="23"/>
        <v>-9.0715</v>
      </c>
    </row>
    <row r="73" s="1" customFormat="1" ht="20" hidden="1" customHeight="1" spans="1:27">
      <c r="A73" s="15">
        <v>46077</v>
      </c>
      <c r="B73" s="16">
        <v>4303121811816</v>
      </c>
      <c r="C73" s="17" t="s">
        <v>37</v>
      </c>
      <c r="D73" s="20">
        <v>67.58</v>
      </c>
      <c r="E73" s="20">
        <v>68.66</v>
      </c>
      <c r="F73" s="20">
        <v>68.58</v>
      </c>
      <c r="G73" s="20">
        <v>67.68</v>
      </c>
      <c r="H73" s="20">
        <v>67.55</v>
      </c>
      <c r="I73" s="20">
        <v>66.75</v>
      </c>
      <c r="J73" s="20">
        <v>66.45</v>
      </c>
      <c r="K73" s="20">
        <v>75.46</v>
      </c>
      <c r="L73" s="20">
        <v>88.58</v>
      </c>
      <c r="M73" s="20">
        <v>89.68</v>
      </c>
      <c r="N73" s="20">
        <v>87.58</v>
      </c>
      <c r="O73" s="20">
        <v>87.24</v>
      </c>
      <c r="P73" s="20">
        <v>87.18</v>
      </c>
      <c r="Q73" s="20">
        <v>88.68</v>
      </c>
      <c r="R73" s="20">
        <v>89.68</v>
      </c>
      <c r="S73" s="20">
        <v>89.58</v>
      </c>
      <c r="T73" s="20">
        <v>90.58</v>
      </c>
      <c r="U73" s="20">
        <v>90.55</v>
      </c>
      <c r="V73" s="20">
        <v>91.28</v>
      </c>
      <c r="W73" s="20">
        <v>90.28</v>
      </c>
      <c r="X73" s="20">
        <v>91.68</v>
      </c>
      <c r="Y73" s="20">
        <v>92.55</v>
      </c>
      <c r="Z73" s="20">
        <v>91.58</v>
      </c>
      <c r="AA73" s="20">
        <v>89.66</v>
      </c>
    </row>
    <row r="74" s="1" customFormat="1" ht="20" customHeight="1" spans="1:28">
      <c r="A74" s="15"/>
      <c r="B74" s="16"/>
      <c r="C74" s="17" t="s">
        <v>38</v>
      </c>
      <c r="D74" s="20">
        <v>76.2168</v>
      </c>
      <c r="E74" s="20">
        <v>80.6449</v>
      </c>
      <c r="F74" s="20">
        <v>79.9832</v>
      </c>
      <c r="G74" s="20">
        <v>79.2141</v>
      </c>
      <c r="H74" s="20">
        <v>77.345</v>
      </c>
      <c r="I74" s="20">
        <v>78.2355</v>
      </c>
      <c r="J74" s="20">
        <v>78.9048</v>
      </c>
      <c r="K74" s="20">
        <v>85.3083</v>
      </c>
      <c r="L74" s="20">
        <v>86.2294</v>
      </c>
      <c r="M74" s="20">
        <v>86.0827</v>
      </c>
      <c r="N74" s="20">
        <v>85.5764</v>
      </c>
      <c r="O74" s="20">
        <v>84.2583</v>
      </c>
      <c r="P74" s="20">
        <v>81.884</v>
      </c>
      <c r="Q74" s="20">
        <v>87.9648</v>
      </c>
      <c r="R74" s="20">
        <v>86.7557</v>
      </c>
      <c r="S74" s="20">
        <v>90.4148</v>
      </c>
      <c r="T74" s="20">
        <v>91.0184</v>
      </c>
      <c r="U74" s="20">
        <v>90.2457</v>
      </c>
      <c r="V74" s="20">
        <v>85.0273</v>
      </c>
      <c r="W74" s="20">
        <v>84.962</v>
      </c>
      <c r="X74" s="20">
        <v>85.4339</v>
      </c>
      <c r="Y74" s="20">
        <v>85.309</v>
      </c>
      <c r="Z74" s="20">
        <v>83.6229</v>
      </c>
      <c r="AA74" s="20">
        <v>80.1803</v>
      </c>
      <c r="AB74" s="21">
        <f>MAX(F74:AA74)</f>
        <v>91.0184</v>
      </c>
    </row>
    <row r="75" s="1" customFormat="1" ht="14.25" hidden="1" spans="1:27">
      <c r="A75" s="15"/>
      <c r="B75" s="16"/>
      <c r="C75" s="17" t="s">
        <v>39</v>
      </c>
      <c r="D75" s="20">
        <f t="shared" ref="D75:AA75" si="24">D73-D74</f>
        <v>-8.63680000000001</v>
      </c>
      <c r="E75" s="20">
        <f t="shared" si="24"/>
        <v>-11.9849</v>
      </c>
      <c r="F75" s="20">
        <f t="shared" si="24"/>
        <v>-11.4032</v>
      </c>
      <c r="G75" s="20">
        <f t="shared" si="24"/>
        <v>-11.5341</v>
      </c>
      <c r="H75" s="20">
        <f t="shared" si="24"/>
        <v>-9.795</v>
      </c>
      <c r="I75" s="20">
        <f t="shared" si="24"/>
        <v>-11.4855</v>
      </c>
      <c r="J75" s="20">
        <f t="shared" si="24"/>
        <v>-12.4548</v>
      </c>
      <c r="K75" s="20">
        <f t="shared" si="24"/>
        <v>-9.84830000000001</v>
      </c>
      <c r="L75" s="20">
        <f t="shared" si="24"/>
        <v>2.3506</v>
      </c>
      <c r="M75" s="20">
        <f t="shared" ref="M75:U75" si="25">M73-M74</f>
        <v>3.5973</v>
      </c>
      <c r="N75" s="20">
        <f t="shared" si="25"/>
        <v>2.00359999999999</v>
      </c>
      <c r="O75" s="20">
        <f t="shared" si="25"/>
        <v>2.98169999999999</v>
      </c>
      <c r="P75" s="20">
        <f t="shared" si="25"/>
        <v>5.29600000000001</v>
      </c>
      <c r="Q75" s="20">
        <f t="shared" si="25"/>
        <v>0.71520000000001</v>
      </c>
      <c r="R75" s="20">
        <f t="shared" si="25"/>
        <v>2.9243</v>
      </c>
      <c r="S75" s="20">
        <f t="shared" si="25"/>
        <v>-0.834800000000001</v>
      </c>
      <c r="T75" s="20">
        <f t="shared" si="25"/>
        <v>-0.438400000000001</v>
      </c>
      <c r="U75" s="20">
        <f t="shared" si="25"/>
        <v>0.304299999999998</v>
      </c>
      <c r="V75" s="20">
        <f t="shared" si="24"/>
        <v>6.2527</v>
      </c>
      <c r="W75" s="20">
        <f t="shared" si="24"/>
        <v>5.318</v>
      </c>
      <c r="X75" s="20">
        <f t="shared" si="24"/>
        <v>6.24610000000001</v>
      </c>
      <c r="Y75" s="20">
        <f t="shared" si="24"/>
        <v>7.241</v>
      </c>
      <c r="Z75" s="20">
        <f t="shared" si="24"/>
        <v>7.9571</v>
      </c>
      <c r="AA75" s="20">
        <f t="shared" si="24"/>
        <v>9.47969999999999</v>
      </c>
    </row>
    <row r="76" s="1" customFormat="1" ht="14.25" hidden="1" spans="1:27">
      <c r="A76" s="15">
        <v>46078</v>
      </c>
      <c r="B76" s="16">
        <v>4303121811816</v>
      </c>
      <c r="C76" s="17" t="s">
        <v>37</v>
      </c>
      <c r="D76" s="19">
        <v>89.12</v>
      </c>
      <c r="E76" s="19">
        <v>90.24</v>
      </c>
      <c r="F76" s="19">
        <v>90.59</v>
      </c>
      <c r="G76" s="19">
        <v>91.03</v>
      </c>
      <c r="H76" s="19">
        <v>90.25</v>
      </c>
      <c r="I76" s="19">
        <v>89.43</v>
      </c>
      <c r="J76" s="19">
        <v>88.56</v>
      </c>
      <c r="K76" s="19">
        <v>90.07</v>
      </c>
      <c r="L76" s="19">
        <v>92.13</v>
      </c>
      <c r="M76" s="19">
        <v>93.54</v>
      </c>
      <c r="N76" s="19">
        <v>93.68</v>
      </c>
      <c r="O76" s="19">
        <v>91.25</v>
      </c>
      <c r="P76" s="19">
        <v>91.06</v>
      </c>
      <c r="Q76" s="19">
        <v>92.34</v>
      </c>
      <c r="R76" s="19">
        <v>93.45</v>
      </c>
      <c r="S76" s="19">
        <v>95.49</v>
      </c>
      <c r="T76" s="19">
        <v>95.92</v>
      </c>
      <c r="U76" s="19">
        <v>94.38</v>
      </c>
      <c r="V76" s="19">
        <v>92.31</v>
      </c>
      <c r="W76" s="19">
        <v>91.46</v>
      </c>
      <c r="X76" s="19">
        <v>92.34</v>
      </c>
      <c r="Y76" s="19">
        <v>92.59</v>
      </c>
      <c r="Z76" s="19">
        <v>92.16</v>
      </c>
      <c r="AA76" s="19">
        <v>90.08</v>
      </c>
    </row>
    <row r="77" s="1" customFormat="1" ht="20" customHeight="1" spans="1:28">
      <c r="A77" s="15"/>
      <c r="B77" s="16"/>
      <c r="C77" s="17" t="s">
        <v>38</v>
      </c>
      <c r="D77" s="19">
        <v>82.2307</v>
      </c>
      <c r="E77" s="19">
        <v>84.8725</v>
      </c>
      <c r="F77" s="19">
        <v>84.0074</v>
      </c>
      <c r="G77" s="19">
        <v>84.3659</v>
      </c>
      <c r="H77" s="19">
        <v>84.4606</v>
      </c>
      <c r="I77" s="19">
        <v>84.0385</v>
      </c>
      <c r="J77" s="19">
        <v>82.5387</v>
      </c>
      <c r="K77" s="19">
        <v>82.8749</v>
      </c>
      <c r="L77" s="19">
        <v>91.4989</v>
      </c>
      <c r="M77" s="19">
        <v>90.1877</v>
      </c>
      <c r="N77" s="19">
        <v>89.6052</v>
      </c>
      <c r="O77" s="19">
        <v>83.5296</v>
      </c>
      <c r="P77" s="19">
        <v>83.2603</v>
      </c>
      <c r="Q77" s="19">
        <v>91.7242</v>
      </c>
      <c r="R77" s="19">
        <v>91.6185</v>
      </c>
      <c r="S77" s="19">
        <v>93.1427</v>
      </c>
      <c r="T77" s="19">
        <v>94.945</v>
      </c>
      <c r="U77" s="19">
        <v>90.5415</v>
      </c>
      <c r="V77" s="19">
        <v>87.2643</v>
      </c>
      <c r="W77" s="19">
        <v>83.3913</v>
      </c>
      <c r="X77" s="19">
        <v>88.8183</v>
      </c>
      <c r="Y77" s="19">
        <v>87.6989</v>
      </c>
      <c r="Z77" s="19">
        <v>85.7202</v>
      </c>
      <c r="AA77" s="19">
        <v>82.3029</v>
      </c>
      <c r="AB77" s="21">
        <f>MAX(F77:AA77)</f>
        <v>94.945</v>
      </c>
    </row>
    <row r="78" s="1" customFormat="1" ht="20" hidden="1" customHeight="1" spans="1:27">
      <c r="A78" s="15"/>
      <c r="B78" s="16"/>
      <c r="C78" s="17" t="s">
        <v>39</v>
      </c>
      <c r="D78" s="19">
        <f t="shared" ref="D78:AA78" si="26">D76-D77</f>
        <v>6.88930000000001</v>
      </c>
      <c r="E78" s="19">
        <f t="shared" si="26"/>
        <v>5.36749999999999</v>
      </c>
      <c r="F78" s="19">
        <f t="shared" si="26"/>
        <v>6.5826</v>
      </c>
      <c r="G78" s="19">
        <f t="shared" si="26"/>
        <v>6.6641</v>
      </c>
      <c r="H78" s="19">
        <f t="shared" si="26"/>
        <v>5.7894</v>
      </c>
      <c r="I78" s="19">
        <f t="shared" si="26"/>
        <v>5.39150000000001</v>
      </c>
      <c r="J78" s="19">
        <f t="shared" si="26"/>
        <v>6.0213</v>
      </c>
      <c r="K78" s="19">
        <f t="shared" si="26"/>
        <v>7.1951</v>
      </c>
      <c r="L78" s="19">
        <f t="shared" si="26"/>
        <v>0.631099999999989</v>
      </c>
      <c r="M78" s="19">
        <f t="shared" si="26"/>
        <v>3.3523</v>
      </c>
      <c r="N78" s="19">
        <f t="shared" si="26"/>
        <v>4.07480000000001</v>
      </c>
      <c r="O78" s="19">
        <f t="shared" si="26"/>
        <v>7.7204</v>
      </c>
      <c r="P78" s="19">
        <f t="shared" si="26"/>
        <v>7.7997</v>
      </c>
      <c r="Q78" s="19">
        <f t="shared" si="26"/>
        <v>0.615800000000007</v>
      </c>
      <c r="R78" s="19">
        <f t="shared" si="26"/>
        <v>1.83150000000001</v>
      </c>
      <c r="S78" s="19">
        <f t="shared" si="26"/>
        <v>2.34729999999999</v>
      </c>
      <c r="T78" s="19">
        <f t="shared" si="26"/>
        <v>0.975000000000009</v>
      </c>
      <c r="U78" s="19">
        <f t="shared" si="26"/>
        <v>3.8385</v>
      </c>
      <c r="V78" s="19">
        <f t="shared" si="26"/>
        <v>5.0457</v>
      </c>
      <c r="W78" s="19">
        <f t="shared" si="26"/>
        <v>8.06869999999999</v>
      </c>
      <c r="X78" s="19">
        <f t="shared" si="26"/>
        <v>3.52170000000001</v>
      </c>
      <c r="Y78" s="19">
        <f t="shared" si="26"/>
        <v>4.89110000000001</v>
      </c>
      <c r="Z78" s="19">
        <f t="shared" si="26"/>
        <v>6.43979999999999</v>
      </c>
      <c r="AA78" s="19">
        <f t="shared" si="26"/>
        <v>7.7771</v>
      </c>
    </row>
    <row r="79" s="1" customFormat="1" ht="20" hidden="1" customHeight="1" spans="1:27">
      <c r="A79" s="15">
        <v>46079</v>
      </c>
      <c r="B79" s="16">
        <v>4303121811816</v>
      </c>
      <c r="C79" s="17" t="s">
        <v>37</v>
      </c>
      <c r="D79" s="20">
        <v>89.25</v>
      </c>
      <c r="E79" s="20">
        <v>90.34</v>
      </c>
      <c r="F79" s="20">
        <v>90.63</v>
      </c>
      <c r="G79" s="20">
        <v>91.04</v>
      </c>
      <c r="H79" s="20">
        <v>90.58</v>
      </c>
      <c r="I79" s="20">
        <v>89.38</v>
      </c>
      <c r="J79" s="20">
        <v>88.45</v>
      </c>
      <c r="K79" s="20">
        <v>90.57</v>
      </c>
      <c r="L79" s="20">
        <v>91.34</v>
      </c>
      <c r="M79" s="20">
        <v>92.58</v>
      </c>
      <c r="N79" s="20">
        <v>93.12</v>
      </c>
      <c r="O79" s="20">
        <v>92.56</v>
      </c>
      <c r="P79" s="20">
        <v>91.37</v>
      </c>
      <c r="Q79" s="20">
        <v>92.57</v>
      </c>
      <c r="R79" s="20">
        <v>93.46</v>
      </c>
      <c r="S79" s="20">
        <v>95.43</v>
      </c>
      <c r="T79" s="20">
        <v>92.37</v>
      </c>
      <c r="U79" s="20">
        <v>94.35</v>
      </c>
      <c r="V79" s="20">
        <v>92.56</v>
      </c>
      <c r="W79" s="20">
        <v>91.38</v>
      </c>
      <c r="X79" s="20">
        <v>92.12</v>
      </c>
      <c r="Y79" s="20">
        <v>92.43</v>
      </c>
      <c r="Z79" s="20">
        <v>92.06</v>
      </c>
      <c r="AA79" s="20">
        <v>90.34</v>
      </c>
    </row>
    <row r="80" s="1" customFormat="1" ht="20" customHeight="1" spans="1:28">
      <c r="A80" s="15"/>
      <c r="B80" s="16"/>
      <c r="C80" s="17" t="s">
        <v>38</v>
      </c>
      <c r="D80" s="20">
        <v>82.6232</v>
      </c>
      <c r="E80" s="20">
        <v>87.7994</v>
      </c>
      <c r="F80" s="20">
        <v>86.3421</v>
      </c>
      <c r="G80" s="20">
        <v>86.8014</v>
      </c>
      <c r="H80" s="20">
        <v>86.967</v>
      </c>
      <c r="I80" s="20">
        <v>86.9163</v>
      </c>
      <c r="J80" s="20">
        <v>87.6444</v>
      </c>
      <c r="K80" s="20">
        <v>85.2737</v>
      </c>
      <c r="L80" s="20">
        <v>94.6743</v>
      </c>
      <c r="M80" s="20">
        <v>96.1646</v>
      </c>
      <c r="N80" s="20">
        <v>95.825</v>
      </c>
      <c r="O80" s="20">
        <v>88.4981</v>
      </c>
      <c r="P80" s="20">
        <v>89.4062</v>
      </c>
      <c r="Q80" s="20">
        <v>94.5489</v>
      </c>
      <c r="R80" s="20">
        <v>97.2558</v>
      </c>
      <c r="S80" s="20">
        <v>96.5501</v>
      </c>
      <c r="T80" s="20">
        <v>97.2418</v>
      </c>
      <c r="U80" s="20">
        <v>93.6461</v>
      </c>
      <c r="V80" s="20">
        <v>89.5963</v>
      </c>
      <c r="W80" s="20">
        <v>84.8108</v>
      </c>
      <c r="X80" s="20">
        <v>90.5326</v>
      </c>
      <c r="Y80" s="20">
        <v>91.9124</v>
      </c>
      <c r="Z80" s="20">
        <v>88.3063</v>
      </c>
      <c r="AA80" s="20">
        <v>85.3776</v>
      </c>
      <c r="AB80" s="21">
        <f>MAX(F80:AA80)</f>
        <v>97.2558</v>
      </c>
    </row>
    <row r="81" s="1" customFormat="1" ht="20" hidden="1" customHeight="1" spans="1:27">
      <c r="A81" s="15"/>
      <c r="B81" s="16"/>
      <c r="C81" s="17" t="s">
        <v>39</v>
      </c>
      <c r="D81" s="20">
        <f t="shared" ref="D81:AA81" si="27">D79-D80</f>
        <v>6.6268</v>
      </c>
      <c r="E81" s="20">
        <f t="shared" si="27"/>
        <v>2.5406</v>
      </c>
      <c r="F81" s="20">
        <f t="shared" si="27"/>
        <v>4.28789999999999</v>
      </c>
      <c r="G81" s="20">
        <f t="shared" si="27"/>
        <v>4.23860000000001</v>
      </c>
      <c r="H81" s="20">
        <f t="shared" si="27"/>
        <v>3.613</v>
      </c>
      <c r="I81" s="20">
        <f t="shared" si="27"/>
        <v>2.46369999999999</v>
      </c>
      <c r="J81" s="20">
        <f t="shared" si="27"/>
        <v>0.805599999999998</v>
      </c>
      <c r="K81" s="20">
        <f t="shared" si="27"/>
        <v>5.29629999999999</v>
      </c>
      <c r="L81" s="20">
        <f t="shared" si="27"/>
        <v>-3.3343</v>
      </c>
      <c r="M81" s="20">
        <f t="shared" si="27"/>
        <v>-3.58459999999999</v>
      </c>
      <c r="N81" s="20">
        <f t="shared" si="27"/>
        <v>-2.705</v>
      </c>
      <c r="O81" s="20">
        <f t="shared" si="27"/>
        <v>4.06190000000001</v>
      </c>
      <c r="P81" s="20">
        <f t="shared" si="27"/>
        <v>1.96380000000001</v>
      </c>
      <c r="Q81" s="20">
        <f t="shared" si="27"/>
        <v>-1.97890000000001</v>
      </c>
      <c r="R81" s="20">
        <f t="shared" si="27"/>
        <v>-3.7958</v>
      </c>
      <c r="S81" s="20">
        <f t="shared" si="27"/>
        <v>-1.12009999999999</v>
      </c>
      <c r="T81" s="20">
        <f t="shared" si="27"/>
        <v>-4.87179999999999</v>
      </c>
      <c r="U81" s="20">
        <f t="shared" si="27"/>
        <v>0.70389999999999</v>
      </c>
      <c r="V81" s="20">
        <f t="shared" si="27"/>
        <v>2.9637</v>
      </c>
      <c r="W81" s="20">
        <f t="shared" si="27"/>
        <v>6.5692</v>
      </c>
      <c r="X81" s="20">
        <f t="shared" si="27"/>
        <v>1.5874</v>
      </c>
      <c r="Y81" s="20">
        <f t="shared" si="27"/>
        <v>0.517600000000002</v>
      </c>
      <c r="Z81" s="20">
        <f t="shared" si="27"/>
        <v>3.75370000000001</v>
      </c>
      <c r="AA81" s="20">
        <f t="shared" si="27"/>
        <v>4.9624</v>
      </c>
    </row>
    <row r="82" s="1" customFormat="1" ht="20" hidden="1" customHeight="1" spans="1:27">
      <c r="A82" s="15">
        <v>46080</v>
      </c>
      <c r="B82" s="16">
        <v>4303121811816</v>
      </c>
      <c r="C82" s="17" t="s">
        <v>37</v>
      </c>
      <c r="D82" s="19">
        <v>89.56</v>
      </c>
      <c r="E82" s="19">
        <v>90.16</v>
      </c>
      <c r="F82" s="19">
        <v>91.06</v>
      </c>
      <c r="G82" s="19">
        <v>91.43</v>
      </c>
      <c r="H82" s="19">
        <v>90.56</v>
      </c>
      <c r="I82" s="19">
        <v>90.03</v>
      </c>
      <c r="J82" s="19">
        <v>88.37</v>
      </c>
      <c r="K82" s="19">
        <v>89.76</v>
      </c>
      <c r="L82" s="19">
        <v>91.34</v>
      </c>
      <c r="M82" s="19">
        <v>92.46</v>
      </c>
      <c r="N82" s="19">
        <v>93.13</v>
      </c>
      <c r="O82" s="19">
        <v>92.49</v>
      </c>
      <c r="P82" s="19">
        <v>91.54</v>
      </c>
      <c r="Q82" s="19">
        <v>92.38</v>
      </c>
      <c r="R82" s="19">
        <v>93.43</v>
      </c>
      <c r="S82" s="19">
        <v>94.12</v>
      </c>
      <c r="T82" s="19">
        <v>95.24</v>
      </c>
      <c r="U82" s="19">
        <v>94.38</v>
      </c>
      <c r="V82" s="19">
        <v>92.12</v>
      </c>
      <c r="W82" s="19">
        <v>91.07</v>
      </c>
      <c r="X82" s="19">
        <v>92.08</v>
      </c>
      <c r="Y82" s="19">
        <v>92.37</v>
      </c>
      <c r="Z82" s="19">
        <v>92.12</v>
      </c>
      <c r="AA82" s="19">
        <v>90.57</v>
      </c>
    </row>
    <row r="83" s="1" customFormat="1" ht="20" customHeight="1" spans="1:28">
      <c r="A83" s="15"/>
      <c r="B83" s="16"/>
      <c r="C83" s="17" t="s">
        <v>38</v>
      </c>
      <c r="D83" s="19">
        <v>83.4222</v>
      </c>
      <c r="E83" s="19">
        <v>89.144</v>
      </c>
      <c r="F83" s="19">
        <v>89.1264</v>
      </c>
      <c r="G83" s="19">
        <v>90.4887</v>
      </c>
      <c r="H83" s="19">
        <v>90.1847</v>
      </c>
      <c r="I83" s="19">
        <v>89.2021</v>
      </c>
      <c r="J83" s="19">
        <v>84.9182</v>
      </c>
      <c r="K83" s="19">
        <v>89.0806</v>
      </c>
      <c r="L83" s="19">
        <v>96.2861</v>
      </c>
      <c r="M83" s="19">
        <v>93.3873</v>
      </c>
      <c r="N83" s="19">
        <v>93.5845</v>
      </c>
      <c r="O83" s="19">
        <v>87.245</v>
      </c>
      <c r="P83" s="19">
        <v>86.555</v>
      </c>
      <c r="Q83" s="19">
        <v>93.6602</v>
      </c>
      <c r="R83" s="19">
        <v>95.6648</v>
      </c>
      <c r="S83" s="19">
        <v>93.9488</v>
      </c>
      <c r="T83" s="19">
        <v>94.1579</v>
      </c>
      <c r="U83" s="19">
        <v>95.8584</v>
      </c>
      <c r="V83" s="19">
        <v>89.6526</v>
      </c>
      <c r="W83" s="19">
        <v>84.5047</v>
      </c>
      <c r="X83" s="19">
        <v>90.6365</v>
      </c>
      <c r="Y83" s="19">
        <v>89.0419</v>
      </c>
      <c r="Z83" s="19">
        <v>88.1584</v>
      </c>
      <c r="AA83" s="19">
        <v>83.79</v>
      </c>
      <c r="AB83" s="21">
        <f>MAX(F83:AA83)</f>
        <v>96.2861</v>
      </c>
    </row>
    <row r="84" s="1" customFormat="1" ht="20" hidden="1" customHeight="1" spans="1:27">
      <c r="A84" s="15"/>
      <c r="B84" s="16"/>
      <c r="C84" s="17" t="s">
        <v>39</v>
      </c>
      <c r="D84" s="19">
        <f t="shared" ref="D84:AA84" si="28">D82-D83</f>
        <v>6.1378</v>
      </c>
      <c r="E84" s="19">
        <f t="shared" si="28"/>
        <v>1.01599999999999</v>
      </c>
      <c r="F84" s="19">
        <f t="shared" si="28"/>
        <v>1.9336</v>
      </c>
      <c r="G84" s="19">
        <f t="shared" si="28"/>
        <v>0.941300000000012</v>
      </c>
      <c r="H84" s="19">
        <f t="shared" si="28"/>
        <v>0.375299999999996</v>
      </c>
      <c r="I84" s="19">
        <f t="shared" si="28"/>
        <v>0.8279</v>
      </c>
      <c r="J84" s="19">
        <f t="shared" si="28"/>
        <v>3.45180000000001</v>
      </c>
      <c r="K84" s="19">
        <f t="shared" si="28"/>
        <v>0.679400000000001</v>
      </c>
      <c r="L84" s="19">
        <f t="shared" si="28"/>
        <v>-4.9461</v>
      </c>
      <c r="M84" s="19">
        <f t="shared" si="28"/>
        <v>-0.927300000000002</v>
      </c>
      <c r="N84" s="19">
        <f t="shared" si="28"/>
        <v>-0.45450000000001</v>
      </c>
      <c r="O84" s="19">
        <f t="shared" si="28"/>
        <v>5.24499999999999</v>
      </c>
      <c r="P84" s="19">
        <f t="shared" si="28"/>
        <v>4.985</v>
      </c>
      <c r="Q84" s="19">
        <f t="shared" si="28"/>
        <v>-1.28020000000001</v>
      </c>
      <c r="R84" s="19">
        <f t="shared" si="28"/>
        <v>-2.23479999999999</v>
      </c>
      <c r="S84" s="19">
        <f t="shared" si="28"/>
        <v>0.171199999999999</v>
      </c>
      <c r="T84" s="19">
        <f t="shared" si="28"/>
        <v>1.0821</v>
      </c>
      <c r="U84" s="19">
        <f t="shared" si="28"/>
        <v>-1.47840000000001</v>
      </c>
      <c r="V84" s="19">
        <f t="shared" si="28"/>
        <v>2.4674</v>
      </c>
      <c r="W84" s="19">
        <f t="shared" si="28"/>
        <v>6.56529999999999</v>
      </c>
      <c r="X84" s="19">
        <f t="shared" si="28"/>
        <v>1.4435</v>
      </c>
      <c r="Y84" s="19">
        <f t="shared" si="28"/>
        <v>3.32810000000001</v>
      </c>
      <c r="Z84" s="19">
        <f t="shared" si="28"/>
        <v>3.9616</v>
      </c>
      <c r="AA84" s="19">
        <f t="shared" si="28"/>
        <v>6.77999999999999</v>
      </c>
    </row>
    <row r="85" s="1" customFormat="1" ht="14.25" hidden="1" spans="1:27">
      <c r="A85" s="15">
        <v>46081</v>
      </c>
      <c r="B85" s="16">
        <v>4303121811816</v>
      </c>
      <c r="C85" s="17" t="s">
        <v>37</v>
      </c>
      <c r="D85" s="20">
        <v>89.08</v>
      </c>
      <c r="E85" s="20">
        <v>90.24</v>
      </c>
      <c r="F85" s="20">
        <v>91.37</v>
      </c>
      <c r="G85" s="20">
        <v>91.56</v>
      </c>
      <c r="H85" s="20">
        <v>90.49</v>
      </c>
      <c r="I85" s="20">
        <v>90.01</v>
      </c>
      <c r="J85" s="20">
        <v>89.37</v>
      </c>
      <c r="K85" s="20">
        <v>89.94</v>
      </c>
      <c r="L85" s="20">
        <v>91.28</v>
      </c>
      <c r="M85" s="20">
        <v>92.54</v>
      </c>
      <c r="N85" s="20">
        <v>93.25</v>
      </c>
      <c r="O85" s="20">
        <v>92.49</v>
      </c>
      <c r="P85" s="20">
        <v>91.08</v>
      </c>
      <c r="Q85" s="20">
        <v>91.24</v>
      </c>
      <c r="R85" s="20">
        <v>93.27</v>
      </c>
      <c r="S85" s="20">
        <v>94.25</v>
      </c>
      <c r="T85" s="20">
        <v>95.18</v>
      </c>
      <c r="U85" s="20">
        <v>94.49</v>
      </c>
      <c r="V85" s="20">
        <v>92.37</v>
      </c>
      <c r="W85" s="20">
        <v>91.73</v>
      </c>
      <c r="X85" s="20">
        <v>92.04</v>
      </c>
      <c r="Y85" s="20">
        <v>92.54</v>
      </c>
      <c r="Z85" s="20">
        <v>92.97</v>
      </c>
      <c r="AA85" s="20">
        <v>90.48</v>
      </c>
    </row>
    <row r="86" s="1" customFormat="1" ht="14.25" spans="1:28">
      <c r="A86" s="15"/>
      <c r="B86" s="16"/>
      <c r="C86" s="17" t="s">
        <v>38</v>
      </c>
      <c r="D86" s="20">
        <v>85.0625</v>
      </c>
      <c r="E86" s="20">
        <v>86.2174</v>
      </c>
      <c r="F86" s="20">
        <v>88.0546</v>
      </c>
      <c r="G86" s="20">
        <v>88.6988</v>
      </c>
      <c r="H86" s="20">
        <v>89.3147</v>
      </c>
      <c r="I86" s="20">
        <v>86.2646</v>
      </c>
      <c r="J86" s="20">
        <v>85.7454</v>
      </c>
      <c r="K86" s="20">
        <v>86.856</v>
      </c>
      <c r="L86" s="20">
        <v>96.4656</v>
      </c>
      <c r="M86" s="20">
        <v>94.3888</v>
      </c>
      <c r="N86" s="20">
        <v>95.4624</v>
      </c>
      <c r="O86" s="20">
        <v>87.3277</v>
      </c>
      <c r="P86" s="20">
        <v>87.083</v>
      </c>
      <c r="Q86" s="20">
        <v>95.3163</v>
      </c>
      <c r="R86" s="20">
        <v>95.832</v>
      </c>
      <c r="S86" s="20">
        <v>95.2195</v>
      </c>
      <c r="T86" s="20">
        <v>96.888</v>
      </c>
      <c r="U86" s="20">
        <v>94.1952</v>
      </c>
      <c r="V86" s="20">
        <v>89.5083</v>
      </c>
      <c r="W86" s="20">
        <v>84.8848</v>
      </c>
      <c r="X86" s="20">
        <v>91.1081</v>
      </c>
      <c r="Y86" s="20">
        <v>89.7934</v>
      </c>
      <c r="Z86" s="20">
        <v>86.9863</v>
      </c>
      <c r="AA86" s="20">
        <v>84.4131</v>
      </c>
      <c r="AB86" s="21">
        <f>MAX(F86:AA86)</f>
        <v>96.888</v>
      </c>
    </row>
    <row r="87" s="1" customFormat="1" ht="20" hidden="1" customHeight="1" spans="1:27">
      <c r="A87" s="15"/>
      <c r="B87" s="16"/>
      <c r="C87" s="17" t="s">
        <v>39</v>
      </c>
      <c r="D87" s="20">
        <f t="shared" ref="D87:AA87" si="29">D85-D86</f>
        <v>4.0175</v>
      </c>
      <c r="E87" s="20">
        <f t="shared" si="29"/>
        <v>4.0226</v>
      </c>
      <c r="F87" s="20">
        <f t="shared" si="29"/>
        <v>3.31540000000001</v>
      </c>
      <c r="G87" s="20">
        <f t="shared" si="29"/>
        <v>2.8612</v>
      </c>
      <c r="H87" s="20">
        <f t="shared" si="29"/>
        <v>1.17529999999999</v>
      </c>
      <c r="I87" s="20">
        <f t="shared" si="29"/>
        <v>3.7454</v>
      </c>
      <c r="J87" s="20">
        <f t="shared" si="29"/>
        <v>3.6246</v>
      </c>
      <c r="K87" s="20">
        <f t="shared" si="29"/>
        <v>3.084</v>
      </c>
      <c r="L87" s="20">
        <f t="shared" si="29"/>
        <v>-5.18559999999999</v>
      </c>
      <c r="M87" s="20">
        <f t="shared" si="29"/>
        <v>-1.8488</v>
      </c>
      <c r="N87" s="20">
        <f t="shared" si="29"/>
        <v>-2.2124</v>
      </c>
      <c r="O87" s="20">
        <f t="shared" si="29"/>
        <v>5.1623</v>
      </c>
      <c r="P87" s="20">
        <f t="shared" si="29"/>
        <v>3.997</v>
      </c>
      <c r="Q87" s="20">
        <f t="shared" si="29"/>
        <v>-4.0763</v>
      </c>
      <c r="R87" s="20">
        <f t="shared" si="29"/>
        <v>-2.562</v>
      </c>
      <c r="S87" s="20">
        <f t="shared" si="29"/>
        <v>-0.969499999999996</v>
      </c>
      <c r="T87" s="20">
        <f t="shared" si="29"/>
        <v>-1.708</v>
      </c>
      <c r="U87" s="20">
        <f t="shared" si="29"/>
        <v>0.294799999999995</v>
      </c>
      <c r="V87" s="20">
        <f t="shared" si="29"/>
        <v>2.8617</v>
      </c>
      <c r="W87" s="20">
        <f t="shared" si="29"/>
        <v>6.84520000000001</v>
      </c>
      <c r="X87" s="20">
        <f t="shared" si="29"/>
        <v>0.931900000000013</v>
      </c>
      <c r="Y87" s="20">
        <f t="shared" si="29"/>
        <v>2.7466</v>
      </c>
      <c r="Z87" s="20">
        <f t="shared" si="29"/>
        <v>5.9837</v>
      </c>
      <c r="AA87" s="20">
        <f t="shared" si="29"/>
        <v>6.0669</v>
      </c>
    </row>
    <row r="88" s="1" customFormat="1" ht="20" customHeight="1" spans="1:28">
      <c r="A88" s="26"/>
      <c r="B88" s="26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1"/>
    </row>
    <row r="89" s="1" customFormat="1" ht="20" customHeight="1" spans="1:28">
      <c r="A89" s="26"/>
      <c r="B89" s="28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1"/>
    </row>
    <row r="90" s="1" customFormat="1" ht="14.25" spans="1:28">
      <c r="A90" s="26"/>
      <c r="B90" s="26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1"/>
    </row>
    <row r="91" s="1" customFormat="1" ht="14.25" spans="1:28">
      <c r="A91" s="26"/>
      <c r="B91" s="26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1"/>
    </row>
    <row r="92" s="1" customFormat="1" ht="20" customHeight="1" spans="1:28">
      <c r="A92" s="26"/>
      <c r="B92" s="26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1"/>
    </row>
    <row r="93" s="1" customFormat="1" ht="20" customHeight="1" spans="1:28">
      <c r="A93" s="26"/>
      <c r="B93" s="26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1"/>
    </row>
    <row r="94" s="1" customFormat="1" ht="20" customHeight="1" spans="1:28">
      <c r="A94" s="26"/>
      <c r="B94" s="26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1"/>
    </row>
    <row r="95" s="1" customFormat="1" ht="20" customHeight="1" spans="1:28">
      <c r="A95" s="26"/>
      <c r="B95" s="26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1"/>
    </row>
    <row r="96" s="1" customFormat="1" ht="20" customHeight="1" spans="1:28">
      <c r="A96" s="26"/>
      <c r="B96" s="26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1"/>
    </row>
    <row r="97" s="1" customFormat="1" ht="20" customHeight="1" spans="1:28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1"/>
    </row>
    <row r="98" s="1" customFormat="1" ht="20" customHeight="1" spans="1:28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1"/>
    </row>
    <row r="99" s="1" customFormat="1" ht="20" customHeight="1" spans="1:28">
      <c r="A99" s="26"/>
      <c r="B99" s="28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1"/>
    </row>
    <row r="100" s="1" customFormat="1" ht="14.25" spans="1:28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1"/>
    </row>
    <row r="101" s="1" customFormat="1" ht="14.25" spans="1:28">
      <c r="A101" s="26"/>
      <c r="B101" s="26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1"/>
    </row>
    <row r="102" s="1" customFormat="1" ht="20" customHeight="1" spans="1:28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1"/>
    </row>
    <row r="103" s="1" customFormat="1" ht="20" customHeight="1" spans="1:28">
      <c r="A103" s="26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1"/>
    </row>
    <row r="104" s="1" customFormat="1" ht="20" customHeight="1" spans="1:28">
      <c r="A104" s="26"/>
      <c r="B104" s="26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1"/>
    </row>
    <row r="105" s="1" customFormat="1" ht="20" customHeight="1" spans="1:28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1"/>
    </row>
    <row r="106" s="1" customFormat="1" ht="20" customHeight="1" spans="1:28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1"/>
    </row>
    <row r="107" s="1" customFormat="1" ht="20" customHeight="1" spans="1:28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1"/>
    </row>
    <row r="108" s="1" customFormat="1" ht="20" customHeight="1" spans="1:28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1"/>
    </row>
    <row r="109" s="1" customFormat="1" ht="20" customHeight="1" spans="1:28">
      <c r="A109" s="26"/>
      <c r="B109" s="28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1"/>
    </row>
    <row r="110" s="1" customFormat="1" ht="14.25" spans="1:28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1"/>
    </row>
    <row r="111" s="1" customFormat="1" ht="14.25" spans="1:28">
      <c r="A111" s="26"/>
      <c r="B111" s="26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1"/>
    </row>
    <row r="112" s="1" customFormat="1" ht="20" customHeight="1" spans="1:28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1"/>
    </row>
    <row r="113" s="1" customFormat="1" ht="20" customHeight="1" spans="1:28">
      <c r="A113" s="26"/>
      <c r="B113" s="26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1"/>
    </row>
    <row r="114" s="1" customFormat="1" ht="20" customHeight="1" spans="1:28">
      <c r="A114" s="26"/>
      <c r="B114" s="26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1"/>
    </row>
    <row r="115" s="1" customFormat="1" ht="20" customHeight="1" spans="1:28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1"/>
    </row>
    <row r="116" s="1" customFormat="1" ht="20" customHeight="1" spans="1:28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1"/>
    </row>
    <row r="117" s="1" customFormat="1" ht="20" customHeight="1" spans="1:28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1"/>
    </row>
    <row r="118" s="1" customFormat="1" ht="20" customHeight="1" spans="1:28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1"/>
    </row>
    <row r="119" s="1" customFormat="1" ht="20" customHeight="1" spans="1:28">
      <c r="A119" s="26"/>
      <c r="B119" s="28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1"/>
    </row>
    <row r="120" s="1" customFormat="1" ht="14.25" spans="1:28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1"/>
    </row>
    <row r="121" s="1" customFormat="1" ht="14.25" spans="1:28">
      <c r="A121" s="26"/>
      <c r="B121" s="26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1"/>
    </row>
    <row r="122" s="1" customFormat="1" ht="20" customHeight="1" spans="1:28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1"/>
    </row>
    <row r="123" s="1" customFormat="1" ht="20" customHeight="1" spans="1:28">
      <c r="A123" s="26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1"/>
    </row>
    <row r="124" s="1" customFormat="1" ht="20" customHeight="1" spans="1:28">
      <c r="A124" s="26"/>
      <c r="B124" s="26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1"/>
    </row>
    <row r="125" s="1" customFormat="1" ht="20" customHeight="1" spans="1:28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1"/>
    </row>
    <row r="126" s="1" customFormat="1" ht="20" customHeight="1" spans="1:28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1"/>
    </row>
    <row r="127" s="1" customFormat="1" ht="20" customHeight="1" spans="1:28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1"/>
    </row>
    <row r="128" s="1" customFormat="1" ht="20" customHeight="1" spans="1:28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1"/>
    </row>
    <row r="129" s="1" customFormat="1" ht="20" customHeight="1" spans="1:28">
      <c r="A129" s="26"/>
      <c r="B129" s="28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1"/>
    </row>
    <row r="130" s="1" customFormat="1" ht="14.25" spans="1:28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1"/>
    </row>
    <row r="131" s="1" customFormat="1" ht="14.25" spans="1:28">
      <c r="A131" s="26"/>
      <c r="B131" s="26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1"/>
    </row>
    <row r="132" s="1" customFormat="1" ht="20" customHeight="1" spans="1:28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1"/>
    </row>
    <row r="133" s="1" customFormat="1" ht="20" customHeight="1" spans="1:28">
      <c r="A133" s="26"/>
      <c r="B133" s="26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1"/>
    </row>
    <row r="134" s="1" customFormat="1" ht="20" customHeight="1" spans="1:28">
      <c r="A134" s="26"/>
      <c r="B134" s="26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1"/>
    </row>
    <row r="135" s="1" customFormat="1" ht="20" customHeight="1" spans="1:28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1"/>
    </row>
    <row r="136" s="1" customFormat="1" ht="20" customHeight="1" spans="1:28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1"/>
    </row>
    <row r="137" s="1" customFormat="1" ht="20" customHeight="1" spans="1:28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1"/>
    </row>
    <row r="138" s="1" customFormat="1" ht="20" customHeight="1" spans="1:28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1"/>
    </row>
    <row r="139" s="1" customFormat="1" ht="20" customHeight="1" spans="1:28">
      <c r="A139" s="26"/>
      <c r="B139" s="28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1"/>
    </row>
    <row r="140" s="1" customFormat="1" ht="14.25" spans="1:28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1"/>
    </row>
    <row r="141" s="1" customFormat="1" ht="14.25" spans="1:28">
      <c r="A141" s="26"/>
      <c r="B141" s="26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1"/>
    </row>
    <row r="142" s="1" customFormat="1" ht="20" customHeight="1" spans="1:28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1"/>
    </row>
    <row r="143" s="1" customFormat="1" ht="20" customHeight="1" spans="1:28">
      <c r="A143" s="26"/>
      <c r="B143" s="26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1"/>
    </row>
    <row r="144" s="1" customFormat="1" ht="20" customHeight="1" spans="1:28">
      <c r="A144" s="26"/>
      <c r="B144" s="26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1"/>
    </row>
    <row r="145" s="1" customFormat="1" ht="20" customHeight="1" spans="1:28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1"/>
    </row>
    <row r="146" s="1" customFormat="1" ht="20" customHeight="1" spans="1:28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1"/>
    </row>
    <row r="147" s="1" customFormat="1" ht="20" customHeight="1" spans="1:28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1"/>
    </row>
    <row r="148" s="1" customFormat="1" ht="20" customHeight="1" spans="1:28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1"/>
    </row>
    <row r="149" s="1" customFormat="1" ht="20" customHeight="1" spans="1:28">
      <c r="A149" s="26"/>
      <c r="B149" s="28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1"/>
    </row>
    <row r="150" s="1" customFormat="1" ht="14.25" spans="1:28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1"/>
    </row>
    <row r="151" s="1" customFormat="1" ht="14.25" spans="1:28">
      <c r="A151" s="26"/>
      <c r="B151" s="26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1"/>
    </row>
    <row r="152" s="1" customFormat="1" ht="20" customHeight="1" spans="1:28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1"/>
    </row>
    <row r="153" s="1" customFormat="1" ht="20" customHeight="1" spans="1:28">
      <c r="A153" s="26"/>
      <c r="B153" s="26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1"/>
    </row>
    <row r="154" s="1" customFormat="1" ht="20" customHeight="1" spans="1:28">
      <c r="A154" s="26"/>
      <c r="B154" s="26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1"/>
    </row>
    <row r="155" s="1" customFormat="1" ht="20" customHeight="1" spans="1:28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1"/>
    </row>
    <row r="156" s="1" customFormat="1" ht="20" customHeight="1" spans="1:28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1"/>
    </row>
    <row r="157" s="1" customFormat="1" ht="20" customHeight="1" spans="1:28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1"/>
    </row>
    <row r="158" s="1" customFormat="1" ht="20" customHeight="1" spans="1:28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1"/>
    </row>
    <row r="159" s="1" customFormat="1" ht="20" customHeight="1" spans="1:28">
      <c r="A159" s="26"/>
      <c r="B159" s="28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1"/>
    </row>
    <row r="160" s="1" customFormat="1" ht="14.25" spans="1:28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1"/>
    </row>
    <row r="161" s="1" customFormat="1" ht="14.25" spans="1:28">
      <c r="A161" s="26"/>
      <c r="B161" s="26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1"/>
    </row>
    <row r="162" s="1" customFormat="1" ht="20" customHeight="1" spans="1:28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1"/>
    </row>
    <row r="163" s="1" customFormat="1" ht="20" customHeight="1" spans="1:28">
      <c r="A163" s="26"/>
      <c r="B163" s="26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1"/>
    </row>
    <row r="164" s="1" customFormat="1" ht="20" customHeight="1" spans="1:28">
      <c r="A164" s="26"/>
      <c r="B164" s="26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1"/>
    </row>
    <row r="165" s="1" customFormat="1" ht="20" customHeight="1" spans="1:28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1"/>
    </row>
    <row r="166" s="1" customFormat="1" ht="20" customHeight="1" spans="1:28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1"/>
    </row>
    <row r="167" s="1" customFormat="1" ht="20" customHeight="1" spans="1:28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1"/>
    </row>
    <row r="168" s="1" customFormat="1" ht="20" customHeight="1" spans="1:28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1"/>
    </row>
    <row r="169" s="1" customFormat="1" ht="20" customHeight="1" spans="1:28">
      <c r="A169" s="26"/>
      <c r="B169" s="28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1"/>
    </row>
    <row r="170" s="1" customFormat="1" ht="14.25" spans="1:28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1"/>
    </row>
    <row r="171" s="1" customFormat="1" ht="14.25" spans="1:28">
      <c r="A171" s="26"/>
      <c r="B171" s="26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1"/>
    </row>
    <row r="172" s="1" customFormat="1" ht="20" customHeight="1" spans="1:28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1"/>
    </row>
    <row r="173" s="1" customFormat="1" ht="20" customHeight="1" spans="1:28">
      <c r="A173" s="26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1"/>
    </row>
    <row r="174" s="1" customFormat="1" ht="20" customHeight="1" spans="1:28">
      <c r="A174" s="26"/>
      <c r="B174" s="26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1"/>
    </row>
    <row r="175" s="1" customFormat="1" ht="20" customHeight="1" spans="1:28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1"/>
    </row>
    <row r="176" s="1" customFormat="1" ht="20" customHeight="1" spans="1:28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1"/>
    </row>
    <row r="177" s="1" customFormat="1" ht="20" customHeight="1" spans="1:28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1"/>
    </row>
    <row r="178" s="1" customFormat="1" ht="20" customHeight="1" spans="1:28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1"/>
    </row>
    <row r="179" s="1" customFormat="1" ht="20" customHeight="1" spans="1:28">
      <c r="A179" s="26"/>
      <c r="B179" s="28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1"/>
    </row>
    <row r="180" s="1" customFormat="1" ht="14.25" spans="1:28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1"/>
    </row>
    <row r="181" s="1" customFormat="1" ht="14.25" spans="1:28">
      <c r="A181" s="26"/>
      <c r="B181" s="26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1"/>
    </row>
    <row r="182" s="1" customFormat="1" ht="20" customHeight="1" spans="1:28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1"/>
    </row>
    <row r="183" s="1" customFormat="1" ht="20" customHeight="1" spans="1:28">
      <c r="A183" s="26"/>
      <c r="B183" s="26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1"/>
    </row>
    <row r="184" s="1" customFormat="1" ht="20" customHeight="1" spans="1:28">
      <c r="A184" s="26"/>
      <c r="B184" s="26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1"/>
    </row>
    <row r="185" s="1" customFormat="1" ht="20" customHeight="1" spans="1:28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1"/>
    </row>
    <row r="186" s="1" customFormat="1" ht="20" customHeight="1" spans="1:28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1"/>
    </row>
    <row r="187" s="1" customFormat="1" ht="20" customHeight="1" spans="1:28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1"/>
    </row>
    <row r="188" s="1" customFormat="1" ht="20" customHeight="1" spans="1:28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1"/>
    </row>
    <row r="189" s="1" customFormat="1" ht="20" customHeight="1" spans="1:28">
      <c r="A189" s="26"/>
      <c r="B189" s="28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1"/>
    </row>
    <row r="190" s="1" customFormat="1" ht="14.25" spans="1:28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1"/>
    </row>
    <row r="191" s="1" customFormat="1" ht="14.25" spans="1:28">
      <c r="A191" s="26"/>
      <c r="B191" s="26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1"/>
    </row>
    <row r="192" s="1" customFormat="1" ht="20" customHeight="1" spans="1:28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1"/>
    </row>
    <row r="193" s="1" customFormat="1" ht="20" customHeight="1" spans="1:28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1"/>
    </row>
    <row r="194" s="1" customFormat="1" ht="20" customHeight="1" spans="1:28">
      <c r="A194" s="26"/>
      <c r="B194" s="26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1"/>
    </row>
    <row r="195" s="1" customFormat="1" ht="20" customHeight="1" spans="1:28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1"/>
    </row>
    <row r="196" s="1" customFormat="1" ht="20" customHeight="1" spans="1:28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1"/>
    </row>
    <row r="197" s="1" customFormat="1" ht="20" customHeight="1" spans="1:28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1"/>
    </row>
    <row r="198" s="1" customFormat="1" ht="20" customHeight="1" spans="1:28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1"/>
    </row>
    <row r="199" s="1" customFormat="1" ht="20" customHeight="1" spans="1:28">
      <c r="A199" s="26"/>
      <c r="B199" s="28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1"/>
    </row>
    <row r="200" s="1" customFormat="1" ht="14.25" spans="1:28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1"/>
    </row>
    <row r="201" s="1" customFormat="1" ht="14.25" spans="1:28">
      <c r="A201" s="26"/>
      <c r="B201" s="26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1"/>
    </row>
    <row r="202" s="1" customFormat="1" ht="20" customHeight="1" spans="1:28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1"/>
    </row>
    <row r="203" s="1" customFormat="1" ht="20" customHeight="1" spans="1:28">
      <c r="A203" s="26"/>
      <c r="B203" s="26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1"/>
    </row>
    <row r="204" s="1" customFormat="1" ht="20" customHeight="1" spans="1:28">
      <c r="A204" s="26"/>
      <c r="B204" s="26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1"/>
    </row>
    <row r="205" s="1" customFormat="1" ht="20" customHeight="1" spans="1:28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1"/>
    </row>
    <row r="206" s="1" customFormat="1" ht="20" customHeight="1" spans="1:28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1"/>
    </row>
    <row r="207" s="1" customFormat="1" ht="20" customHeight="1" spans="1:28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1"/>
    </row>
    <row r="208" s="1" customFormat="1" ht="20" customHeight="1" spans="1:28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1"/>
    </row>
    <row r="209" s="1" customFormat="1" ht="20" customHeight="1" spans="1:28">
      <c r="A209" s="26"/>
      <c r="B209" s="28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1"/>
    </row>
    <row r="210" s="1" customFormat="1" ht="14.25" spans="1:28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1"/>
    </row>
    <row r="211" s="1" customFormat="1" ht="14.25" spans="1:28">
      <c r="A211" s="26"/>
      <c r="B211" s="26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1"/>
    </row>
    <row r="212" s="1" customFormat="1" ht="20" customHeight="1" spans="1:28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1"/>
    </row>
    <row r="213" s="1" customFormat="1" ht="20" customHeight="1" spans="1:28">
      <c r="A213" s="26"/>
      <c r="B213" s="26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1"/>
    </row>
    <row r="214" s="1" customFormat="1" ht="20" customHeight="1" spans="1:28">
      <c r="A214" s="26"/>
      <c r="B214" s="26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1"/>
    </row>
    <row r="215" s="1" customFormat="1" ht="20" customHeight="1" spans="1:28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1"/>
    </row>
    <row r="216" s="1" customFormat="1" ht="20" customHeight="1" spans="1:28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1"/>
    </row>
    <row r="217" s="1" customFormat="1" ht="20" customHeight="1" spans="1:28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1"/>
    </row>
    <row r="218" s="1" customFormat="1" ht="20" customHeight="1" spans="1:28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1"/>
    </row>
    <row r="219" s="1" customFormat="1" ht="20" customHeight="1" spans="1:28">
      <c r="A219" s="26"/>
      <c r="B219" s="28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1"/>
    </row>
    <row r="220" s="1" customFormat="1" ht="14.25" spans="1:28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1"/>
    </row>
    <row r="221" s="1" customFormat="1" ht="14.25" spans="1:28">
      <c r="A221" s="26"/>
      <c r="B221" s="26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1"/>
    </row>
    <row r="222" s="1" customFormat="1" ht="20" customHeight="1" spans="1:28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1"/>
    </row>
    <row r="223" s="1" customFormat="1" ht="20" customHeight="1" spans="1:28">
      <c r="A223" s="26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1"/>
    </row>
    <row r="224" s="1" customFormat="1" ht="20" customHeight="1" spans="1:28">
      <c r="A224" s="26"/>
      <c r="B224" s="26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1"/>
    </row>
    <row r="225" s="1" customFormat="1" ht="20" customHeight="1" spans="1:28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1"/>
    </row>
    <row r="226" s="1" customFormat="1" ht="20" customHeight="1" spans="1:28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1"/>
    </row>
    <row r="227" s="1" customFormat="1" ht="20" customHeight="1" spans="1:28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1"/>
    </row>
    <row r="228" s="1" customFormat="1" ht="20" customHeight="1" spans="1:28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1"/>
    </row>
    <row r="229" s="1" customFormat="1" ht="20" customHeight="1" spans="1:28">
      <c r="A229" s="26"/>
      <c r="B229" s="28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1"/>
    </row>
    <row r="230" s="1" customFormat="1" ht="14.25" spans="1:28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1"/>
    </row>
    <row r="231" s="1" customFormat="1" ht="14.25" spans="1:28">
      <c r="A231" s="26"/>
      <c r="B231" s="26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1"/>
    </row>
    <row r="232" s="1" customFormat="1" ht="20" customHeight="1" spans="1:28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1"/>
    </row>
    <row r="233" s="1" customFormat="1" ht="20" customHeight="1" spans="1:28">
      <c r="A233" s="26"/>
      <c r="B233" s="26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1"/>
    </row>
    <row r="234" s="1" customFormat="1" ht="20" customHeight="1" spans="1:28">
      <c r="A234" s="26"/>
      <c r="B234" s="26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1"/>
    </row>
    <row r="235" s="1" customFormat="1" ht="20" customHeight="1" spans="1:28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1"/>
    </row>
    <row r="236" s="1" customFormat="1" ht="20" customHeight="1" spans="1:28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1"/>
    </row>
    <row r="237" s="1" customFormat="1" ht="20" customHeight="1" spans="1:28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1"/>
    </row>
    <row r="238" s="1" customFormat="1" ht="20" customHeight="1" spans="1:28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1"/>
    </row>
    <row r="239" s="1" customFormat="1" ht="20" customHeight="1" spans="1:28">
      <c r="A239" s="26"/>
      <c r="B239" s="28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1"/>
    </row>
    <row r="240" s="1" customFormat="1" ht="14.25" spans="1:28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1"/>
    </row>
    <row r="241" s="1" customFormat="1" ht="14.25" spans="1:28">
      <c r="A241" s="26"/>
      <c r="B241" s="26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1"/>
    </row>
    <row r="242" s="1" customFormat="1" ht="20" customHeight="1" spans="1:28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1"/>
    </row>
    <row r="243" s="1" customFormat="1" ht="20" customHeight="1" spans="1:28">
      <c r="A243" s="26"/>
      <c r="B243" s="26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1"/>
    </row>
    <row r="244" s="1" customFormat="1" ht="20" customHeight="1" spans="1:28">
      <c r="A244" s="26"/>
      <c r="B244" s="26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1"/>
    </row>
    <row r="245" s="1" customFormat="1" ht="20" customHeight="1" spans="1:28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1"/>
    </row>
    <row r="246" s="1" customFormat="1" ht="20" customHeight="1" spans="1:28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1"/>
    </row>
    <row r="247" s="1" customFormat="1" ht="20" customHeight="1" spans="1:28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1"/>
    </row>
    <row r="248" s="1" customFormat="1" ht="20" customHeight="1" spans="1:28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1"/>
    </row>
    <row r="249" s="1" customFormat="1" ht="20" customHeight="1" spans="1:28">
      <c r="A249" s="26"/>
      <c r="B249" s="28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1"/>
    </row>
    <row r="250" s="1" customFormat="1" ht="14.25" spans="1:28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1"/>
    </row>
    <row r="251" s="1" customFormat="1" ht="14.25" spans="1:28">
      <c r="A251" s="26"/>
      <c r="B251" s="26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1"/>
    </row>
    <row r="252" s="1" customFormat="1" ht="20" customHeight="1" spans="1:28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1"/>
    </row>
    <row r="253" s="1" customFormat="1" ht="20" customHeight="1" spans="1:28">
      <c r="A253" s="26"/>
      <c r="B253" s="26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1"/>
    </row>
    <row r="254" s="1" customFormat="1" ht="20" customHeight="1" spans="1:28">
      <c r="A254" s="26"/>
      <c r="B254" s="26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1"/>
    </row>
    <row r="255" s="1" customFormat="1" ht="20" customHeight="1" spans="1:28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1"/>
    </row>
    <row r="256" s="1" customFormat="1" ht="20" customHeight="1" spans="1:28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1"/>
    </row>
    <row r="257" s="1" customFormat="1" ht="20" customHeight="1" spans="1:28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1"/>
    </row>
    <row r="258" s="1" customFormat="1" ht="20" customHeight="1" spans="1:28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1"/>
    </row>
    <row r="259" s="1" customFormat="1" ht="20" customHeight="1" spans="1:28">
      <c r="A259" s="26"/>
      <c r="B259" s="28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1"/>
    </row>
    <row r="260" s="1" customFormat="1" ht="14.25" spans="1:28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1"/>
    </row>
    <row r="261" s="1" customFormat="1" ht="14.25" spans="1:28">
      <c r="A261" s="26"/>
      <c r="B261" s="26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1"/>
    </row>
    <row r="262" s="1" customFormat="1" ht="20" customHeight="1" spans="1:28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1"/>
    </row>
    <row r="263" s="1" customFormat="1" ht="20" customHeight="1" spans="1:28">
      <c r="A263" s="26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1"/>
    </row>
    <row r="264" s="1" customFormat="1" ht="20" customHeight="1" spans="1:28">
      <c r="A264" s="26"/>
      <c r="B264" s="26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1"/>
    </row>
    <row r="265" s="1" customFormat="1" ht="20" customHeight="1" spans="1:28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1"/>
    </row>
    <row r="266" s="1" customFormat="1" ht="20" customHeight="1" spans="1:28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1"/>
    </row>
    <row r="267" s="1" customFormat="1" ht="20" customHeight="1" spans="1:28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1"/>
    </row>
    <row r="268" s="1" customFormat="1" ht="20" customHeight="1" spans="1:28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1"/>
    </row>
    <row r="269" s="1" customFormat="1" ht="20" customHeight="1" spans="1:28">
      <c r="A269" s="26"/>
      <c r="B269" s="28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1"/>
    </row>
    <row r="270" s="1" customFormat="1" ht="14.25" spans="1:28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1"/>
    </row>
    <row r="271" s="1" customFormat="1" ht="14.25" spans="1:28">
      <c r="A271" s="26"/>
      <c r="B271" s="26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1"/>
    </row>
    <row r="272" s="1" customFormat="1" ht="20" customHeight="1" spans="1:28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1"/>
    </row>
    <row r="273" s="1" customFormat="1" ht="20" customHeight="1" spans="1:28">
      <c r="A273" s="26"/>
      <c r="B273" s="26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1"/>
    </row>
    <row r="274" s="1" customFormat="1" ht="20" customHeight="1" spans="1:28">
      <c r="A274" s="26"/>
      <c r="B274" s="26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1"/>
    </row>
    <row r="275" s="1" customFormat="1" ht="20" customHeight="1" spans="1:28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1"/>
    </row>
    <row r="276" s="1" customFormat="1" ht="20" customHeight="1" spans="1:28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1"/>
    </row>
    <row r="277" s="1" customFormat="1" ht="20" customHeight="1" spans="1:28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1"/>
    </row>
    <row r="278" s="1" customFormat="1" ht="20" customHeight="1" spans="1:28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1"/>
    </row>
    <row r="279" s="1" customFormat="1" ht="20" customHeight="1" spans="1:28">
      <c r="A279" s="26"/>
      <c r="B279" s="28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1"/>
    </row>
    <row r="280" s="1" customFormat="1" ht="14.25" spans="1:28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1"/>
    </row>
    <row r="281" s="1" customFormat="1" ht="14.25" spans="1:28">
      <c r="A281" s="26"/>
      <c r="B281" s="26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1"/>
    </row>
  </sheetData>
  <autoFilter ref="A3:AB87">
    <filterColumn colId="2">
      <customFilters>
        <customFilter operator="equal" val="实际"/>
      </customFilters>
    </filterColumn>
  </autoFilter>
  <mergeCells count="57">
    <mergeCell ref="A1:AB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XFC296"/>
  <sheetViews>
    <sheetView zoomScale="70" zoomScaleNormal="70" workbookViewId="0">
      <pane xSplit="2" ySplit="3" topLeftCell="J23" activePane="bottomRight" state="frozen"/>
      <selection/>
      <selection pane="topRight"/>
      <selection pane="bottomLeft"/>
      <selection pane="bottomRight" activeCell="AC3" sqref="AC3"/>
    </sheetView>
  </sheetViews>
  <sheetFormatPr defaultColWidth="9" defaultRowHeight="13.5"/>
  <cols>
    <col min="1" max="1" width="11.375" style="3" customWidth="1"/>
    <col min="2" max="2" width="17.25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9.375" style="6"/>
    <col min="29" max="16384" width="9" style="4"/>
  </cols>
  <sheetData>
    <row r="1" customFormat="1" ht="70" customHeight="1" spans="1:16383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customFormat="1" ht="20" customHeight="1" spans="1:16383">
      <c r="A2" s="3"/>
      <c r="B2" s="4"/>
      <c r="C2" s="4"/>
      <c r="D2" s="5"/>
      <c r="E2" s="9" t="s">
        <v>40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</row>
    <row r="3" s="1" customFormat="1" ht="20" customHeight="1" spans="1:29">
      <c r="A3" s="10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  <c r="AB3" s="21"/>
      <c r="AC3" s="21" t="s">
        <v>3</v>
      </c>
    </row>
    <row r="4" s="1" customFormat="1" ht="20" hidden="1" customHeight="1" spans="1:27">
      <c r="A4" s="15">
        <v>46082</v>
      </c>
      <c r="B4" s="16">
        <v>4303121811816</v>
      </c>
      <c r="C4" s="17" t="s">
        <v>37</v>
      </c>
      <c r="D4" s="19">
        <v>89.04</v>
      </c>
      <c r="E4" s="19">
        <v>90.12</v>
      </c>
      <c r="F4" s="19">
        <v>91.05</v>
      </c>
      <c r="G4" s="19">
        <v>91.38</v>
      </c>
      <c r="H4" s="19">
        <v>90.54</v>
      </c>
      <c r="I4" s="19">
        <v>88.37</v>
      </c>
      <c r="J4" s="19">
        <v>85.43</v>
      </c>
      <c r="K4" s="19">
        <v>84.28</v>
      </c>
      <c r="L4" s="19">
        <v>83.53</v>
      </c>
      <c r="M4" s="19">
        <v>83.79</v>
      </c>
      <c r="N4" s="19">
        <v>82.18</v>
      </c>
      <c r="O4" s="19">
        <v>80.04</v>
      </c>
      <c r="P4" s="19">
        <v>79.38</v>
      </c>
      <c r="Q4" s="19">
        <v>80.47</v>
      </c>
      <c r="R4" s="19">
        <v>82.38</v>
      </c>
      <c r="S4" s="19">
        <v>84.54</v>
      </c>
      <c r="T4" s="19">
        <v>84.79</v>
      </c>
      <c r="U4" s="19">
        <v>85.04</v>
      </c>
      <c r="V4" s="19">
        <v>83.27</v>
      </c>
      <c r="W4" s="19">
        <v>83.06</v>
      </c>
      <c r="X4" s="19">
        <v>84.38</v>
      </c>
      <c r="Y4" s="19">
        <v>84.56</v>
      </c>
      <c r="Z4" s="19">
        <v>83.47</v>
      </c>
      <c r="AA4" s="19">
        <v>80.57</v>
      </c>
    </row>
    <row r="5" s="1" customFormat="1" ht="20" customHeight="1" spans="1:28">
      <c r="A5" s="15"/>
      <c r="B5" s="16"/>
      <c r="C5" s="17" t="s">
        <v>38</v>
      </c>
      <c r="D5" s="19">
        <v>84.3568</v>
      </c>
      <c r="E5" s="19">
        <v>87.3118</v>
      </c>
      <c r="F5" s="19">
        <v>87.8751</v>
      </c>
      <c r="G5" s="19">
        <v>87.0989</v>
      </c>
      <c r="H5" s="19">
        <v>86.2013</v>
      </c>
      <c r="I5" s="19">
        <v>84.4677</v>
      </c>
      <c r="J5" s="19">
        <v>81.0022</v>
      </c>
      <c r="K5" s="19">
        <v>78.1599</v>
      </c>
      <c r="L5" s="19">
        <v>82.4699</v>
      </c>
      <c r="M5" s="19">
        <v>81.8717</v>
      </c>
      <c r="N5" s="19">
        <v>80.8632</v>
      </c>
      <c r="O5" s="19">
        <v>77.7867</v>
      </c>
      <c r="P5" s="19">
        <v>76.479</v>
      </c>
      <c r="Q5" s="19">
        <v>79.8582</v>
      </c>
      <c r="R5" s="19">
        <v>81.1008</v>
      </c>
      <c r="S5" s="19">
        <v>81.9632</v>
      </c>
      <c r="T5" s="19">
        <v>83.1072</v>
      </c>
      <c r="U5" s="19">
        <v>80.7805</v>
      </c>
      <c r="V5" s="19">
        <v>79.4886</v>
      </c>
      <c r="W5" s="19">
        <v>77.931</v>
      </c>
      <c r="X5" s="19">
        <v>80.9793</v>
      </c>
      <c r="Y5" s="19">
        <v>81.1026</v>
      </c>
      <c r="Z5" s="19">
        <v>80.1821</v>
      </c>
      <c r="AA5" s="19">
        <v>76.1042</v>
      </c>
      <c r="AB5" s="21">
        <f>MAX(D5:AA5)</f>
        <v>87.8751</v>
      </c>
    </row>
    <row r="6" s="1" customFormat="1" ht="20" hidden="1" customHeight="1" spans="1:27">
      <c r="A6" s="15"/>
      <c r="B6" s="16"/>
      <c r="C6" s="17" t="s">
        <v>39</v>
      </c>
      <c r="D6" s="19">
        <f t="shared" ref="D6:AA6" si="0">D4-D5</f>
        <v>4.6832</v>
      </c>
      <c r="E6" s="19">
        <f t="shared" si="0"/>
        <v>2.8082</v>
      </c>
      <c r="F6" s="19">
        <f t="shared" si="0"/>
        <v>3.17489999999999</v>
      </c>
      <c r="G6" s="19">
        <f t="shared" si="0"/>
        <v>4.2811</v>
      </c>
      <c r="H6" s="19">
        <f t="shared" si="0"/>
        <v>4.3387</v>
      </c>
      <c r="I6" s="19">
        <f t="shared" si="0"/>
        <v>3.90230000000001</v>
      </c>
      <c r="J6" s="19">
        <f t="shared" si="0"/>
        <v>4.4278</v>
      </c>
      <c r="K6" s="19">
        <f t="shared" si="0"/>
        <v>6.12010000000001</v>
      </c>
      <c r="L6" s="19">
        <f t="shared" si="0"/>
        <v>1.06010000000001</v>
      </c>
      <c r="M6" s="19">
        <f t="shared" si="0"/>
        <v>1.9183</v>
      </c>
      <c r="N6" s="19">
        <f t="shared" si="0"/>
        <v>1.3168</v>
      </c>
      <c r="O6" s="19">
        <f t="shared" si="0"/>
        <v>2.25330000000001</v>
      </c>
      <c r="P6" s="19">
        <f t="shared" si="0"/>
        <v>2.901</v>
      </c>
      <c r="Q6" s="19">
        <f t="shared" si="0"/>
        <v>0.611800000000002</v>
      </c>
      <c r="R6" s="19">
        <f t="shared" si="0"/>
        <v>1.27919999999999</v>
      </c>
      <c r="S6" s="19">
        <f t="shared" si="0"/>
        <v>2.57680000000001</v>
      </c>
      <c r="T6" s="19">
        <f t="shared" si="0"/>
        <v>1.6828</v>
      </c>
      <c r="U6" s="19">
        <f t="shared" si="0"/>
        <v>4.2595</v>
      </c>
      <c r="V6" s="19">
        <f t="shared" si="0"/>
        <v>3.78139999999999</v>
      </c>
      <c r="W6" s="19">
        <f t="shared" si="0"/>
        <v>5.129</v>
      </c>
      <c r="X6" s="19">
        <f t="shared" si="0"/>
        <v>3.4007</v>
      </c>
      <c r="Y6" s="19">
        <f t="shared" si="0"/>
        <v>3.45740000000001</v>
      </c>
      <c r="Z6" s="19">
        <f t="shared" si="0"/>
        <v>3.28789999999999</v>
      </c>
      <c r="AA6" s="19">
        <f t="shared" si="0"/>
        <v>4.46579999999999</v>
      </c>
    </row>
    <row r="7" s="1" customFormat="1" ht="20" hidden="1" customHeight="1" spans="1:27">
      <c r="A7" s="15">
        <v>46083</v>
      </c>
      <c r="B7" s="16">
        <v>4303121811816</v>
      </c>
      <c r="C7" s="17" t="s">
        <v>37</v>
      </c>
      <c r="D7" s="20">
        <v>80.03</v>
      </c>
      <c r="E7" s="20">
        <v>81.25</v>
      </c>
      <c r="F7" s="20">
        <v>82.37</v>
      </c>
      <c r="G7" s="20">
        <v>82.59</v>
      </c>
      <c r="H7" s="20">
        <v>81.48</v>
      </c>
      <c r="I7" s="20">
        <v>80.57</v>
      </c>
      <c r="J7" s="20">
        <v>80.07</v>
      </c>
      <c r="K7" s="20">
        <v>84.38</v>
      </c>
      <c r="L7" s="20">
        <v>92.57</v>
      </c>
      <c r="M7" s="20">
        <v>93.54</v>
      </c>
      <c r="N7" s="20">
        <v>93.12</v>
      </c>
      <c r="O7" s="20">
        <v>90.38</v>
      </c>
      <c r="P7" s="20">
        <v>90.12</v>
      </c>
      <c r="Q7" s="20">
        <v>92.37</v>
      </c>
      <c r="R7" s="20">
        <v>93.12</v>
      </c>
      <c r="S7" s="20">
        <v>94.57</v>
      </c>
      <c r="T7" s="20">
        <v>95.12</v>
      </c>
      <c r="U7" s="20">
        <v>94.38</v>
      </c>
      <c r="V7" s="20">
        <v>91.34</v>
      </c>
      <c r="W7" s="20">
        <v>92.12</v>
      </c>
      <c r="X7" s="20">
        <v>93.57</v>
      </c>
      <c r="Y7" s="20">
        <v>94.12</v>
      </c>
      <c r="Z7" s="20">
        <v>93.46</v>
      </c>
      <c r="AA7" s="20">
        <v>90.69</v>
      </c>
    </row>
    <row r="8" s="1" customFormat="1" ht="20" customHeight="1" spans="1:28">
      <c r="A8" s="15"/>
      <c r="B8" s="16"/>
      <c r="C8" s="17" t="s">
        <v>38</v>
      </c>
      <c r="D8" s="20">
        <v>76.4403</v>
      </c>
      <c r="E8" s="20">
        <v>80.4408</v>
      </c>
      <c r="F8" s="20">
        <v>79.7896</v>
      </c>
      <c r="G8" s="20">
        <v>79.8143</v>
      </c>
      <c r="H8" s="20">
        <v>81.0744</v>
      </c>
      <c r="I8" s="20">
        <v>78.4168</v>
      </c>
      <c r="J8" s="20">
        <v>78.8972</v>
      </c>
      <c r="K8" s="20">
        <v>85.0273</v>
      </c>
      <c r="L8" s="20">
        <v>97.8667</v>
      </c>
      <c r="M8" s="20">
        <v>98.9515</v>
      </c>
      <c r="N8" s="20">
        <v>94.5137</v>
      </c>
      <c r="O8" s="20">
        <v>92.2786</v>
      </c>
      <c r="P8" s="20">
        <v>96.0098</v>
      </c>
      <c r="Q8" s="20">
        <v>97.3603</v>
      </c>
      <c r="R8" s="20">
        <v>98.9877</v>
      </c>
      <c r="S8" s="20">
        <v>100.5869</v>
      </c>
      <c r="T8" s="20">
        <v>101.2813</v>
      </c>
      <c r="U8" s="20">
        <v>101.4006</v>
      </c>
      <c r="V8" s="20">
        <v>94.1597</v>
      </c>
      <c r="W8" s="20">
        <v>90.4851</v>
      </c>
      <c r="X8" s="20">
        <v>94.7285</v>
      </c>
      <c r="Y8" s="20">
        <v>93.2131</v>
      </c>
      <c r="Z8" s="20">
        <v>91.615</v>
      </c>
      <c r="AA8" s="20">
        <v>86.8824</v>
      </c>
      <c r="AB8" s="21">
        <f>MAX(D8:AA8)</f>
        <v>101.4006</v>
      </c>
    </row>
    <row r="9" s="1" customFormat="1" ht="20" hidden="1" customHeight="1" spans="1:27">
      <c r="A9" s="15"/>
      <c r="B9" s="16"/>
      <c r="C9" s="17" t="s">
        <v>39</v>
      </c>
      <c r="D9" s="20">
        <f t="shared" ref="D9:AA9" si="1">D7-D8</f>
        <v>3.58970000000001</v>
      </c>
      <c r="E9" s="20">
        <f t="shared" si="1"/>
        <v>0.809200000000004</v>
      </c>
      <c r="F9" s="20">
        <f t="shared" si="1"/>
        <v>2.58040000000001</v>
      </c>
      <c r="G9" s="20">
        <f t="shared" si="1"/>
        <v>2.7757</v>
      </c>
      <c r="H9" s="20">
        <f t="shared" si="1"/>
        <v>0.405600000000007</v>
      </c>
      <c r="I9" s="20">
        <f t="shared" si="1"/>
        <v>2.1532</v>
      </c>
      <c r="J9" s="20">
        <f t="shared" si="1"/>
        <v>1.1728</v>
      </c>
      <c r="K9" s="20">
        <f t="shared" si="1"/>
        <v>-0.647300000000001</v>
      </c>
      <c r="L9" s="20">
        <f t="shared" si="1"/>
        <v>-5.2967</v>
      </c>
      <c r="M9" s="20">
        <f t="shared" si="1"/>
        <v>-5.41149999999999</v>
      </c>
      <c r="N9" s="20">
        <f t="shared" si="1"/>
        <v>-1.3937</v>
      </c>
      <c r="O9" s="20">
        <f t="shared" si="1"/>
        <v>-1.8986</v>
      </c>
      <c r="P9" s="20">
        <f t="shared" si="1"/>
        <v>-5.88979999999999</v>
      </c>
      <c r="Q9" s="20">
        <f t="shared" si="1"/>
        <v>-4.99029999999999</v>
      </c>
      <c r="R9" s="20">
        <f t="shared" si="1"/>
        <v>-5.8677</v>
      </c>
      <c r="S9" s="20">
        <f t="shared" si="1"/>
        <v>-6.01690000000001</v>
      </c>
      <c r="T9" s="20">
        <f t="shared" si="1"/>
        <v>-6.1613</v>
      </c>
      <c r="U9" s="20">
        <f t="shared" si="1"/>
        <v>-7.0206</v>
      </c>
      <c r="V9" s="20">
        <f t="shared" si="1"/>
        <v>-2.8197</v>
      </c>
      <c r="W9" s="20">
        <f t="shared" si="1"/>
        <v>1.6349</v>
      </c>
      <c r="X9" s="20">
        <f t="shared" si="1"/>
        <v>-1.1585</v>
      </c>
      <c r="Y9" s="20">
        <f t="shared" si="1"/>
        <v>0.906900000000007</v>
      </c>
      <c r="Z9" s="20">
        <f t="shared" si="1"/>
        <v>1.845</v>
      </c>
      <c r="AA9" s="20">
        <f t="shared" si="1"/>
        <v>3.80759999999999</v>
      </c>
    </row>
    <row r="10" s="1" customFormat="1" ht="20" hidden="1" customHeight="1" spans="1:27">
      <c r="A10" s="15">
        <v>46084</v>
      </c>
      <c r="B10" s="16">
        <v>4303121811816</v>
      </c>
      <c r="C10" s="17" t="s">
        <v>37</v>
      </c>
      <c r="D10" s="19">
        <v>88.58</v>
      </c>
      <c r="E10" s="19">
        <v>89.54</v>
      </c>
      <c r="F10" s="19">
        <v>91.22</v>
      </c>
      <c r="G10" s="19">
        <v>91.35</v>
      </c>
      <c r="H10" s="19">
        <v>90.66</v>
      </c>
      <c r="I10" s="19">
        <v>89.58</v>
      </c>
      <c r="J10" s="19">
        <v>85.62</v>
      </c>
      <c r="K10" s="19">
        <v>89.11</v>
      </c>
      <c r="L10" s="19">
        <v>96.33</v>
      </c>
      <c r="M10" s="19">
        <v>94.25</v>
      </c>
      <c r="N10" s="19">
        <v>94.62</v>
      </c>
      <c r="O10" s="19">
        <v>90.28</v>
      </c>
      <c r="P10" s="19">
        <v>90.11</v>
      </c>
      <c r="Q10" s="19">
        <v>93.72</v>
      </c>
      <c r="R10" s="19">
        <v>95.71</v>
      </c>
      <c r="S10" s="19">
        <v>94.11</v>
      </c>
      <c r="T10" s="19">
        <v>95.31</v>
      </c>
      <c r="U10" s="19">
        <v>94.66</v>
      </c>
      <c r="V10" s="19">
        <v>91.54</v>
      </c>
      <c r="W10" s="19">
        <v>92.31</v>
      </c>
      <c r="X10" s="19">
        <v>93.56</v>
      </c>
      <c r="Y10" s="19">
        <v>94.33</v>
      </c>
      <c r="Z10" s="19">
        <v>93.55</v>
      </c>
      <c r="AA10" s="19">
        <v>90.33</v>
      </c>
    </row>
    <row r="11" s="1" customFormat="1" ht="20" customHeight="1" spans="1:28">
      <c r="A11" s="15"/>
      <c r="B11" s="16"/>
      <c r="C11" s="17" t="s">
        <v>38</v>
      </c>
      <c r="D11" s="19">
        <v>87.1358</v>
      </c>
      <c r="E11" s="19">
        <v>93.3345</v>
      </c>
      <c r="F11" s="19">
        <v>92.3965</v>
      </c>
      <c r="G11" s="19">
        <v>92.1236</v>
      </c>
      <c r="H11" s="19">
        <v>92.4493</v>
      </c>
      <c r="I11" s="19">
        <v>92.3191</v>
      </c>
      <c r="J11" s="19">
        <v>91.6044</v>
      </c>
      <c r="K11" s="19">
        <v>91.4989</v>
      </c>
      <c r="L11" s="19">
        <v>102.3094</v>
      </c>
      <c r="M11" s="19">
        <v>99.7216</v>
      </c>
      <c r="N11" s="19">
        <v>99.0282</v>
      </c>
      <c r="O11" s="19">
        <v>95.0876</v>
      </c>
      <c r="P11" s="19">
        <v>95.9236</v>
      </c>
      <c r="Q11" s="19">
        <v>99.3713</v>
      </c>
      <c r="R11" s="19">
        <v>99.2323</v>
      </c>
      <c r="S11" s="19">
        <v>100.5775</v>
      </c>
      <c r="T11" s="19">
        <v>102.5992</v>
      </c>
      <c r="U11" s="19">
        <v>99.4612</v>
      </c>
      <c r="V11" s="19">
        <v>93.2728</v>
      </c>
      <c r="W11" s="19">
        <v>91.6732</v>
      </c>
      <c r="X11" s="19">
        <v>95.6683</v>
      </c>
      <c r="Y11" s="19">
        <v>94.2199</v>
      </c>
      <c r="Z11" s="19">
        <v>94.7866</v>
      </c>
      <c r="AA11" s="19">
        <v>87.7025</v>
      </c>
      <c r="AB11" s="21">
        <f>MAX(D11:AA11)</f>
        <v>102.5992</v>
      </c>
    </row>
    <row r="12" s="1" customFormat="1" ht="20" hidden="1" customHeight="1" spans="1:27">
      <c r="A12" s="15"/>
      <c r="B12" s="16"/>
      <c r="C12" s="17" t="s">
        <v>39</v>
      </c>
      <c r="D12" s="19">
        <f t="shared" ref="D12:AA12" si="2">D10-D11</f>
        <v>1.4442</v>
      </c>
      <c r="E12" s="19">
        <f t="shared" si="2"/>
        <v>-3.7945</v>
      </c>
      <c r="F12" s="19">
        <f t="shared" si="2"/>
        <v>-1.1765</v>
      </c>
      <c r="G12" s="19">
        <f t="shared" si="2"/>
        <v>-0.773600000000002</v>
      </c>
      <c r="H12" s="19">
        <f t="shared" si="2"/>
        <v>-1.7893</v>
      </c>
      <c r="I12" s="19">
        <f t="shared" si="2"/>
        <v>-2.73910000000001</v>
      </c>
      <c r="J12" s="19">
        <f t="shared" si="2"/>
        <v>-5.98439999999999</v>
      </c>
      <c r="K12" s="19">
        <f t="shared" si="2"/>
        <v>-2.38890000000001</v>
      </c>
      <c r="L12" s="19">
        <f t="shared" si="2"/>
        <v>-5.9794</v>
      </c>
      <c r="M12" s="19">
        <f t="shared" si="2"/>
        <v>-5.4716</v>
      </c>
      <c r="N12" s="19">
        <f t="shared" si="2"/>
        <v>-4.40819999999999</v>
      </c>
      <c r="O12" s="19">
        <f t="shared" si="2"/>
        <v>-4.80759999999999</v>
      </c>
      <c r="P12" s="19">
        <f t="shared" si="2"/>
        <v>-5.81359999999999</v>
      </c>
      <c r="Q12" s="19">
        <f t="shared" si="2"/>
        <v>-5.65130000000001</v>
      </c>
      <c r="R12" s="19">
        <f t="shared" si="2"/>
        <v>-3.5223</v>
      </c>
      <c r="S12" s="19">
        <f t="shared" si="2"/>
        <v>-6.4675</v>
      </c>
      <c r="T12" s="19">
        <f t="shared" si="2"/>
        <v>-7.28919999999999</v>
      </c>
      <c r="U12" s="19">
        <f t="shared" si="2"/>
        <v>-4.80120000000001</v>
      </c>
      <c r="V12" s="19">
        <f t="shared" si="2"/>
        <v>-1.7328</v>
      </c>
      <c r="W12" s="19">
        <f t="shared" si="2"/>
        <v>0.636800000000008</v>
      </c>
      <c r="X12" s="19">
        <f t="shared" si="2"/>
        <v>-2.1083</v>
      </c>
      <c r="Y12" s="19">
        <f t="shared" si="2"/>
        <v>0.110100000000003</v>
      </c>
      <c r="Z12" s="19">
        <f t="shared" si="2"/>
        <v>-1.23660000000001</v>
      </c>
      <c r="AA12" s="19">
        <f t="shared" si="2"/>
        <v>2.6275</v>
      </c>
    </row>
    <row r="13" s="1" customFormat="1" ht="20" hidden="1" customHeight="1" spans="1:27">
      <c r="A13" s="15">
        <v>46085</v>
      </c>
      <c r="B13" s="16">
        <v>4303121811816</v>
      </c>
      <c r="C13" s="17" t="s">
        <v>37</v>
      </c>
      <c r="D13" s="20">
        <v>88.61</v>
      </c>
      <c r="E13" s="20">
        <v>89.66</v>
      </c>
      <c r="F13" s="20">
        <v>91.32</v>
      </c>
      <c r="G13" s="20">
        <v>91.54</v>
      </c>
      <c r="H13" s="20">
        <v>90.58</v>
      </c>
      <c r="I13" s="20">
        <v>89.62</v>
      </c>
      <c r="J13" s="20">
        <v>85.33</v>
      </c>
      <c r="K13" s="20">
        <v>89.21</v>
      </c>
      <c r="L13" s="20">
        <v>96.28</v>
      </c>
      <c r="M13" s="20">
        <v>94.33</v>
      </c>
      <c r="N13" s="20">
        <v>94.58</v>
      </c>
      <c r="O13" s="20">
        <v>90.33</v>
      </c>
      <c r="P13" s="20">
        <v>90.18</v>
      </c>
      <c r="Q13" s="20">
        <v>93.62</v>
      </c>
      <c r="R13" s="20">
        <v>95.66</v>
      </c>
      <c r="S13" s="20">
        <v>94.32</v>
      </c>
      <c r="T13" s="20">
        <v>95.28</v>
      </c>
      <c r="U13" s="20">
        <v>94.58</v>
      </c>
      <c r="V13" s="20">
        <v>91.66</v>
      </c>
      <c r="W13" s="20">
        <v>92.41</v>
      </c>
      <c r="X13" s="20">
        <v>93.55</v>
      </c>
      <c r="Y13" s="20">
        <v>94.28</v>
      </c>
      <c r="Z13" s="20">
        <v>93.45</v>
      </c>
      <c r="AA13" s="20">
        <v>90.11</v>
      </c>
    </row>
    <row r="14" s="1" customFormat="1" ht="20" customHeight="1" spans="1:28">
      <c r="A14" s="15"/>
      <c r="B14" s="16"/>
      <c r="C14" s="17" t="s">
        <v>38</v>
      </c>
      <c r="D14" s="20">
        <v>88.8571</v>
      </c>
      <c r="E14" s="20">
        <v>94.0825</v>
      </c>
      <c r="F14" s="20">
        <v>95.2758</v>
      </c>
      <c r="G14" s="20">
        <v>93.4208</v>
      </c>
      <c r="H14" s="20">
        <v>94.2656</v>
      </c>
      <c r="I14" s="20">
        <v>92.6957</v>
      </c>
      <c r="J14" s="20">
        <v>91.4197</v>
      </c>
      <c r="K14" s="20">
        <v>93.3751</v>
      </c>
      <c r="L14" s="20">
        <v>100.6597</v>
      </c>
      <c r="M14" s="20">
        <v>95.2406</v>
      </c>
      <c r="N14" s="20">
        <v>95.751</v>
      </c>
      <c r="O14" s="20">
        <v>93.4208</v>
      </c>
      <c r="P14" s="20">
        <v>92.6904</v>
      </c>
      <c r="Q14" s="20">
        <v>96.0256</v>
      </c>
      <c r="R14" s="20">
        <v>98.6266</v>
      </c>
      <c r="S14" s="20">
        <v>97.6536</v>
      </c>
      <c r="T14" s="20">
        <v>99.9575</v>
      </c>
      <c r="U14" s="20">
        <v>98.2279</v>
      </c>
      <c r="V14" s="20">
        <v>92.5602</v>
      </c>
      <c r="W14" s="20">
        <v>90.1314</v>
      </c>
      <c r="X14" s="20">
        <v>94.9133</v>
      </c>
      <c r="Y14" s="20">
        <v>98.8539</v>
      </c>
      <c r="Z14" s="20">
        <v>94.3008</v>
      </c>
      <c r="AA14" s="20">
        <v>89.1176</v>
      </c>
      <c r="AB14" s="21">
        <f>MAX(D14:AA14)</f>
        <v>100.6597</v>
      </c>
    </row>
    <row r="15" s="1" customFormat="1" ht="20" hidden="1" customHeight="1" spans="1:27">
      <c r="A15" s="15"/>
      <c r="B15" s="16"/>
      <c r="C15" s="17" t="s">
        <v>39</v>
      </c>
      <c r="D15" s="20">
        <f t="shared" ref="D15:AA15" si="3">D13-D14</f>
        <v>-0.247100000000003</v>
      </c>
      <c r="E15" s="20">
        <f t="shared" si="3"/>
        <v>-4.4225</v>
      </c>
      <c r="F15" s="20">
        <f t="shared" si="3"/>
        <v>-3.95580000000001</v>
      </c>
      <c r="G15" s="20">
        <f t="shared" si="3"/>
        <v>-1.88079999999999</v>
      </c>
      <c r="H15" s="20">
        <f t="shared" si="3"/>
        <v>-3.68560000000001</v>
      </c>
      <c r="I15" s="20">
        <f t="shared" si="3"/>
        <v>-3.0757</v>
      </c>
      <c r="J15" s="20">
        <f t="shared" si="3"/>
        <v>-6.08970000000001</v>
      </c>
      <c r="K15" s="20">
        <f t="shared" si="3"/>
        <v>-4.16510000000001</v>
      </c>
      <c r="L15" s="20">
        <f t="shared" si="3"/>
        <v>-4.3797</v>
      </c>
      <c r="M15" s="20">
        <f t="shared" si="3"/>
        <v>-0.910600000000002</v>
      </c>
      <c r="N15" s="20">
        <f t="shared" si="3"/>
        <v>-1.17100000000001</v>
      </c>
      <c r="O15" s="20">
        <f t="shared" si="3"/>
        <v>-3.0908</v>
      </c>
      <c r="P15" s="20">
        <f t="shared" si="3"/>
        <v>-2.51039999999999</v>
      </c>
      <c r="Q15" s="20">
        <f t="shared" si="3"/>
        <v>-2.40559999999999</v>
      </c>
      <c r="R15" s="20">
        <f t="shared" si="3"/>
        <v>-2.9666</v>
      </c>
      <c r="S15" s="20">
        <f t="shared" si="3"/>
        <v>-3.3336</v>
      </c>
      <c r="T15" s="20">
        <f t="shared" si="3"/>
        <v>-4.67749999999999</v>
      </c>
      <c r="U15" s="20">
        <f t="shared" si="3"/>
        <v>-3.64790000000001</v>
      </c>
      <c r="V15" s="20">
        <f t="shared" si="3"/>
        <v>-0.900199999999998</v>
      </c>
      <c r="W15" s="20">
        <f t="shared" si="3"/>
        <v>2.2786</v>
      </c>
      <c r="X15" s="20">
        <f t="shared" si="3"/>
        <v>-1.36330000000001</v>
      </c>
      <c r="Y15" s="20">
        <f t="shared" si="3"/>
        <v>-4.57389999999999</v>
      </c>
      <c r="Z15" s="20">
        <f t="shared" si="3"/>
        <v>-0.850799999999992</v>
      </c>
      <c r="AA15" s="20">
        <f t="shared" si="3"/>
        <v>0.992400000000004</v>
      </c>
    </row>
    <row r="16" s="1" customFormat="1" ht="20" hidden="1" customHeight="1" spans="1:27">
      <c r="A16" s="15">
        <v>46086</v>
      </c>
      <c r="B16" s="16">
        <v>4303121811816</v>
      </c>
      <c r="C16" s="17" t="s">
        <v>37</v>
      </c>
      <c r="D16" s="19">
        <v>88.58</v>
      </c>
      <c r="E16" s="19">
        <v>89.25</v>
      </c>
      <c r="F16" s="19">
        <v>90.11</v>
      </c>
      <c r="G16" s="19">
        <v>91.33</v>
      </c>
      <c r="H16" s="19">
        <v>90.48</v>
      </c>
      <c r="I16" s="19">
        <v>89.54</v>
      </c>
      <c r="J16" s="19">
        <v>85.33</v>
      </c>
      <c r="K16" s="19">
        <v>89.11</v>
      </c>
      <c r="L16" s="19">
        <v>95.22</v>
      </c>
      <c r="M16" s="19">
        <v>94.35</v>
      </c>
      <c r="N16" s="19">
        <v>93.68</v>
      </c>
      <c r="O16" s="19">
        <v>88.21</v>
      </c>
      <c r="P16" s="19">
        <v>87.18</v>
      </c>
      <c r="Q16" s="19">
        <v>83.71</v>
      </c>
      <c r="R16" s="19">
        <v>95.75</v>
      </c>
      <c r="S16" s="19">
        <v>94.24</v>
      </c>
      <c r="T16" s="19">
        <v>94.33</v>
      </c>
      <c r="U16" s="19">
        <v>95.71</v>
      </c>
      <c r="V16" s="19">
        <v>89.89</v>
      </c>
      <c r="W16" s="19">
        <v>85.11</v>
      </c>
      <c r="X16" s="19">
        <v>80.68</v>
      </c>
      <c r="Y16" s="19">
        <v>89.24</v>
      </c>
      <c r="Z16" s="19">
        <v>88.33</v>
      </c>
      <c r="AA16" s="19">
        <v>84.58</v>
      </c>
    </row>
    <row r="17" s="1" customFormat="1" ht="20" customHeight="1" spans="1:28">
      <c r="A17" s="15"/>
      <c r="B17" s="16"/>
      <c r="C17" s="17" t="s">
        <v>38</v>
      </c>
      <c r="D17" s="19">
        <v>90.1965</v>
      </c>
      <c r="E17" s="19">
        <v>95.3163</v>
      </c>
      <c r="F17" s="19">
        <v>93.9856</v>
      </c>
      <c r="G17" s="19">
        <v>93.4771</v>
      </c>
      <c r="H17" s="19">
        <v>93.6036</v>
      </c>
      <c r="I17" s="19">
        <v>93.7552</v>
      </c>
      <c r="J17" s="19">
        <v>92.525</v>
      </c>
      <c r="K17" s="19">
        <v>94.6422</v>
      </c>
      <c r="L17" s="19">
        <v>98.0227</v>
      </c>
      <c r="M17" s="19">
        <v>98.252</v>
      </c>
      <c r="N17" s="19">
        <v>95.4694</v>
      </c>
      <c r="O17" s="19">
        <v>93.199</v>
      </c>
      <c r="P17" s="19">
        <v>93.9981</v>
      </c>
      <c r="Q17" s="19">
        <v>95.9623</v>
      </c>
      <c r="R17" s="19">
        <v>92.6869</v>
      </c>
      <c r="S17" s="19">
        <v>98.6005</v>
      </c>
      <c r="T17" s="19">
        <v>97.6484</v>
      </c>
      <c r="U17" s="19">
        <v>98.6885</v>
      </c>
      <c r="V17" s="19">
        <v>97.2055</v>
      </c>
      <c r="W17" s="19">
        <v>92.0054</v>
      </c>
      <c r="X17" s="19">
        <v>98.9156</v>
      </c>
      <c r="Y17" s="19">
        <v>96.1805</v>
      </c>
      <c r="Z17" s="19">
        <v>95.5082</v>
      </c>
      <c r="AA17" s="19">
        <v>89.0648</v>
      </c>
      <c r="AB17" s="21">
        <f>MAX(D17:AA17)</f>
        <v>98.9156</v>
      </c>
    </row>
    <row r="18" s="1" customFormat="1" ht="20" hidden="1" customHeight="1" spans="1:27">
      <c r="A18" s="15"/>
      <c r="B18" s="16"/>
      <c r="C18" s="17" t="s">
        <v>39</v>
      </c>
      <c r="D18" s="19">
        <f t="shared" ref="D18:AA18" si="4">D16-D17</f>
        <v>-1.6165</v>
      </c>
      <c r="E18" s="19">
        <f t="shared" si="4"/>
        <v>-6.0663</v>
      </c>
      <c r="F18" s="19">
        <f t="shared" si="4"/>
        <v>-3.87560000000001</v>
      </c>
      <c r="G18" s="19">
        <f t="shared" si="4"/>
        <v>-2.14709999999999</v>
      </c>
      <c r="H18" s="19">
        <f t="shared" si="4"/>
        <v>-3.1236</v>
      </c>
      <c r="I18" s="19">
        <f t="shared" si="4"/>
        <v>-4.2152</v>
      </c>
      <c r="J18" s="19">
        <f t="shared" si="4"/>
        <v>-7.19500000000001</v>
      </c>
      <c r="K18" s="19">
        <f t="shared" si="4"/>
        <v>-5.5322</v>
      </c>
      <c r="L18" s="19">
        <f t="shared" si="4"/>
        <v>-2.8027</v>
      </c>
      <c r="M18" s="19">
        <f t="shared" si="4"/>
        <v>-3.902</v>
      </c>
      <c r="N18" s="19">
        <f t="shared" si="4"/>
        <v>-1.78939999999999</v>
      </c>
      <c r="O18" s="19">
        <f t="shared" si="4"/>
        <v>-4.989</v>
      </c>
      <c r="P18" s="19">
        <f t="shared" si="4"/>
        <v>-6.81809999999999</v>
      </c>
      <c r="Q18" s="19">
        <f t="shared" si="4"/>
        <v>-12.2523</v>
      </c>
      <c r="R18" s="19">
        <f t="shared" si="4"/>
        <v>3.06310000000001</v>
      </c>
      <c r="S18" s="19">
        <f t="shared" si="4"/>
        <v>-4.3605</v>
      </c>
      <c r="T18" s="19">
        <f t="shared" si="4"/>
        <v>-3.3184</v>
      </c>
      <c r="U18" s="19">
        <f t="shared" si="4"/>
        <v>-2.97850000000001</v>
      </c>
      <c r="V18" s="19">
        <f t="shared" si="4"/>
        <v>-7.3155</v>
      </c>
      <c r="W18" s="19">
        <f t="shared" si="4"/>
        <v>-6.8954</v>
      </c>
      <c r="X18" s="19">
        <f t="shared" si="4"/>
        <v>-18.2356</v>
      </c>
      <c r="Y18" s="19">
        <f t="shared" si="4"/>
        <v>-6.9405</v>
      </c>
      <c r="Z18" s="19">
        <f t="shared" si="4"/>
        <v>-7.1782</v>
      </c>
      <c r="AA18" s="19">
        <f t="shared" si="4"/>
        <v>-4.48480000000001</v>
      </c>
    </row>
    <row r="19" s="1" customFormat="1" ht="20" hidden="1" customHeight="1" spans="1:27">
      <c r="A19" s="15">
        <v>46087</v>
      </c>
      <c r="B19" s="16">
        <v>4303121811816</v>
      </c>
      <c r="C19" s="17" t="s">
        <v>37</v>
      </c>
      <c r="D19" s="20">
        <v>88.62</v>
      </c>
      <c r="E19" s="20">
        <v>88.87</v>
      </c>
      <c r="F19" s="20">
        <v>90.14</v>
      </c>
      <c r="G19" s="20">
        <v>91.28</v>
      </c>
      <c r="H19" s="20">
        <v>90.22</v>
      </c>
      <c r="I19" s="20">
        <v>89.62</v>
      </c>
      <c r="J19" s="20">
        <v>85.58</v>
      </c>
      <c r="K19" s="20">
        <v>89.32</v>
      </c>
      <c r="L19" s="20">
        <v>95.33</v>
      </c>
      <c r="M19" s="20">
        <v>94.45</v>
      </c>
      <c r="N19" s="20">
        <v>93.71</v>
      </c>
      <c r="O19" s="20">
        <v>88.32</v>
      </c>
      <c r="P19" s="20">
        <v>87.22</v>
      </c>
      <c r="Q19" s="20">
        <v>83.66</v>
      </c>
      <c r="R19" s="20">
        <v>95.68</v>
      </c>
      <c r="S19" s="20">
        <v>94.33</v>
      </c>
      <c r="T19" s="20">
        <v>94.44</v>
      </c>
      <c r="U19" s="20">
        <v>95.62</v>
      </c>
      <c r="V19" s="20">
        <v>89.85</v>
      </c>
      <c r="W19" s="20">
        <v>85.21</v>
      </c>
      <c r="X19" s="20">
        <v>80.71</v>
      </c>
      <c r="Y19" s="20">
        <v>89.36</v>
      </c>
      <c r="Z19" s="20">
        <v>88.62</v>
      </c>
      <c r="AA19" s="20">
        <v>85.11</v>
      </c>
    </row>
    <row r="20" s="1" customFormat="1" ht="20" customHeight="1" spans="1:28">
      <c r="A20" s="15"/>
      <c r="B20" s="16"/>
      <c r="C20" s="17" t="s">
        <v>38</v>
      </c>
      <c r="D20" s="20">
        <v>90.7737</v>
      </c>
      <c r="E20" s="20">
        <v>96.1608</v>
      </c>
      <c r="F20" s="20">
        <v>94.9737</v>
      </c>
      <c r="G20" s="20">
        <v>95.4184</v>
      </c>
      <c r="H20" s="20">
        <v>94.4023</v>
      </c>
      <c r="I20" s="20">
        <v>94.9203</v>
      </c>
      <c r="J20" s="20">
        <v>91.3669</v>
      </c>
      <c r="K20" s="20">
        <v>91.1057</v>
      </c>
      <c r="L20" s="20">
        <v>96.4744</v>
      </c>
      <c r="M20" s="20">
        <v>95.8356</v>
      </c>
      <c r="N20" s="20">
        <v>90.9128</v>
      </c>
      <c r="O20" s="20">
        <v>90.3619</v>
      </c>
      <c r="P20" s="20">
        <v>91.622</v>
      </c>
      <c r="Q20" s="20">
        <v>96.3723</v>
      </c>
      <c r="R20" s="20">
        <v>99.6107</v>
      </c>
      <c r="S20" s="20">
        <v>99.8571</v>
      </c>
      <c r="T20" s="20">
        <v>97.3157</v>
      </c>
      <c r="U20" s="20">
        <v>97.738</v>
      </c>
      <c r="V20" s="20">
        <v>93.852</v>
      </c>
      <c r="W20" s="20">
        <v>90.8846</v>
      </c>
      <c r="X20" s="20">
        <v>96.675</v>
      </c>
      <c r="Y20" s="20">
        <v>95.6877</v>
      </c>
      <c r="Z20" s="20">
        <v>93.1198</v>
      </c>
      <c r="AA20" s="20">
        <v>90.6717</v>
      </c>
      <c r="AB20" s="21">
        <f>MAX(D20:AA20)</f>
        <v>99.8571</v>
      </c>
    </row>
    <row r="21" s="1" customFormat="1" ht="20" hidden="1" customHeight="1" spans="1:27">
      <c r="A21" s="15"/>
      <c r="B21" s="16"/>
      <c r="C21" s="17" t="s">
        <v>39</v>
      </c>
      <c r="D21" s="20">
        <f t="shared" ref="D21:AA21" si="5">D19-D20</f>
        <v>-2.1537</v>
      </c>
      <c r="E21" s="20">
        <f t="shared" si="5"/>
        <v>-7.29079999999999</v>
      </c>
      <c r="F21" s="20">
        <f t="shared" si="5"/>
        <v>-4.83369999999999</v>
      </c>
      <c r="G21" s="20">
        <f t="shared" si="5"/>
        <v>-4.1384</v>
      </c>
      <c r="H21" s="20">
        <f t="shared" si="5"/>
        <v>-4.1823</v>
      </c>
      <c r="I21" s="20">
        <f t="shared" si="5"/>
        <v>-5.30029999999999</v>
      </c>
      <c r="J21" s="20">
        <f t="shared" si="5"/>
        <v>-5.7869</v>
      </c>
      <c r="K21" s="20">
        <f t="shared" si="5"/>
        <v>-1.78570000000001</v>
      </c>
      <c r="L21" s="20">
        <f t="shared" si="5"/>
        <v>-1.1444</v>
      </c>
      <c r="M21" s="20">
        <f t="shared" si="5"/>
        <v>-1.3856</v>
      </c>
      <c r="N21" s="20">
        <f t="shared" si="5"/>
        <v>2.79719999999999</v>
      </c>
      <c r="O21" s="20">
        <f t="shared" si="5"/>
        <v>-2.04190000000001</v>
      </c>
      <c r="P21" s="20">
        <f t="shared" si="5"/>
        <v>-4.402</v>
      </c>
      <c r="Q21" s="20">
        <f t="shared" si="5"/>
        <v>-12.7123</v>
      </c>
      <c r="R21" s="20">
        <f t="shared" si="5"/>
        <v>-3.93069999999999</v>
      </c>
      <c r="S21" s="20">
        <f t="shared" si="5"/>
        <v>-5.5271</v>
      </c>
      <c r="T21" s="20">
        <f t="shared" si="5"/>
        <v>-2.87570000000001</v>
      </c>
      <c r="U21" s="20">
        <f t="shared" si="5"/>
        <v>-2.11799999999999</v>
      </c>
      <c r="V21" s="20">
        <f t="shared" si="5"/>
        <v>-4.00200000000001</v>
      </c>
      <c r="W21" s="20">
        <f t="shared" si="5"/>
        <v>-5.67460000000001</v>
      </c>
      <c r="X21" s="20">
        <f t="shared" si="5"/>
        <v>-15.965</v>
      </c>
      <c r="Y21" s="20">
        <f t="shared" si="5"/>
        <v>-6.32770000000001</v>
      </c>
      <c r="Z21" s="20">
        <f t="shared" si="5"/>
        <v>-4.49979999999999</v>
      </c>
      <c r="AA21" s="20">
        <f t="shared" si="5"/>
        <v>-5.5617</v>
      </c>
    </row>
    <row r="22" s="1" customFormat="1" ht="20" hidden="1" customHeight="1" spans="1:27">
      <c r="A22" s="15">
        <v>46088</v>
      </c>
      <c r="B22" s="16">
        <v>4303121811816</v>
      </c>
      <c r="C22" s="17" t="s">
        <v>37</v>
      </c>
      <c r="D22" s="19">
        <v>85.22</v>
      </c>
      <c r="E22" s="19">
        <v>87.12</v>
      </c>
      <c r="F22" s="19">
        <v>88.22</v>
      </c>
      <c r="G22" s="19">
        <v>88.58</v>
      </c>
      <c r="H22" s="19">
        <v>89.41</v>
      </c>
      <c r="I22" s="19">
        <v>86.33</v>
      </c>
      <c r="J22" s="19">
        <v>85.66</v>
      </c>
      <c r="K22" s="19">
        <v>86.78</v>
      </c>
      <c r="L22" s="19">
        <v>96.51</v>
      </c>
      <c r="M22" s="19">
        <v>94.55</v>
      </c>
      <c r="N22" s="32">
        <v>95.28</v>
      </c>
      <c r="O22" s="32">
        <v>87.62</v>
      </c>
      <c r="P22" s="32">
        <v>87.22</v>
      </c>
      <c r="Q22" s="32">
        <v>95.42</v>
      </c>
      <c r="R22" s="32">
        <v>95.72</v>
      </c>
      <c r="S22" s="19">
        <v>95.33</v>
      </c>
      <c r="T22" s="19">
        <v>96.75</v>
      </c>
      <c r="U22" s="19">
        <v>94.33</v>
      </c>
      <c r="V22" s="19">
        <v>89.62</v>
      </c>
      <c r="W22" s="19">
        <v>84.76</v>
      </c>
      <c r="X22" s="19">
        <v>91.33</v>
      </c>
      <c r="Y22" s="19">
        <v>89.83</v>
      </c>
      <c r="Z22" s="19">
        <v>87.12</v>
      </c>
      <c r="AA22" s="19">
        <v>84.58</v>
      </c>
    </row>
    <row r="23" s="1" customFormat="1" ht="20" customHeight="1" spans="1:28">
      <c r="A23" s="15"/>
      <c r="B23" s="16"/>
      <c r="C23" s="17" t="s">
        <v>38</v>
      </c>
      <c r="D23" s="19">
        <v>89.1669</v>
      </c>
      <c r="E23" s="19">
        <v>94.0526</v>
      </c>
      <c r="F23" s="19">
        <v>94.4695</v>
      </c>
      <c r="G23" s="19">
        <v>95.3585</v>
      </c>
      <c r="H23" s="19">
        <v>94.3812</v>
      </c>
      <c r="I23" s="19">
        <v>95.0189</v>
      </c>
      <c r="J23" s="19">
        <v>90.6048</v>
      </c>
      <c r="K23" s="19">
        <v>89.3002</v>
      </c>
      <c r="L23" s="19">
        <v>95.4272</v>
      </c>
      <c r="M23" s="19">
        <v>92.281</v>
      </c>
      <c r="N23" s="19">
        <v>89.0085</v>
      </c>
      <c r="O23" s="19">
        <v>92.0671</v>
      </c>
      <c r="P23" s="19">
        <v>82.009</v>
      </c>
      <c r="Q23" s="19">
        <v>95.3216</v>
      </c>
      <c r="R23" s="19">
        <v>98.2238</v>
      </c>
      <c r="S23" s="19">
        <v>99.257</v>
      </c>
      <c r="T23" s="19">
        <v>101.4798</v>
      </c>
      <c r="U23" s="19">
        <v>97.9721</v>
      </c>
      <c r="V23" s="19">
        <v>91.7276</v>
      </c>
      <c r="W23" s="19">
        <v>90.8635</v>
      </c>
      <c r="X23" s="19">
        <v>96.1277</v>
      </c>
      <c r="Y23" s="19">
        <v>94.7637</v>
      </c>
      <c r="Z23" s="19">
        <v>93.8872</v>
      </c>
      <c r="AA23" s="19">
        <v>88.9135</v>
      </c>
      <c r="AB23" s="21">
        <f>MAX(D23:AA23)</f>
        <v>101.4798</v>
      </c>
    </row>
    <row r="24" s="1" customFormat="1" ht="20" hidden="1" customHeight="1" spans="1:27">
      <c r="A24" s="15"/>
      <c r="B24" s="16"/>
      <c r="C24" s="17" t="s">
        <v>39</v>
      </c>
      <c r="D24" s="19">
        <f t="shared" ref="D24:AA24" si="6">D22-D23</f>
        <v>-3.9469</v>
      </c>
      <c r="E24" s="19">
        <f t="shared" si="6"/>
        <v>-6.93259999999999</v>
      </c>
      <c r="F24" s="19">
        <f t="shared" si="6"/>
        <v>-6.2495</v>
      </c>
      <c r="G24" s="19">
        <f t="shared" si="6"/>
        <v>-6.77850000000001</v>
      </c>
      <c r="H24" s="19">
        <f t="shared" si="6"/>
        <v>-4.97120000000001</v>
      </c>
      <c r="I24" s="19">
        <f t="shared" si="6"/>
        <v>-8.6889</v>
      </c>
      <c r="J24" s="19">
        <f t="shared" si="6"/>
        <v>-4.9448</v>
      </c>
      <c r="K24" s="19">
        <f t="shared" si="6"/>
        <v>-2.5202</v>
      </c>
      <c r="L24" s="19">
        <f t="shared" si="6"/>
        <v>1.08280000000001</v>
      </c>
      <c r="M24" s="19">
        <f t="shared" si="6"/>
        <v>2.26899999999999</v>
      </c>
      <c r="N24" s="33">
        <f t="shared" si="6"/>
        <v>6.2715</v>
      </c>
      <c r="O24" s="33">
        <f t="shared" si="6"/>
        <v>-4.44709999999999</v>
      </c>
      <c r="P24" s="33">
        <f t="shared" si="6"/>
        <v>5.211</v>
      </c>
      <c r="Q24" s="33">
        <f t="shared" si="6"/>
        <v>0.098399999999998</v>
      </c>
      <c r="R24" s="33">
        <f t="shared" si="6"/>
        <v>-2.5038</v>
      </c>
      <c r="S24" s="19">
        <f t="shared" si="6"/>
        <v>-3.92700000000001</v>
      </c>
      <c r="T24" s="19">
        <f t="shared" si="6"/>
        <v>-4.7298</v>
      </c>
      <c r="U24" s="19">
        <f t="shared" si="6"/>
        <v>-3.6421</v>
      </c>
      <c r="V24" s="19">
        <f t="shared" si="6"/>
        <v>-2.10759999999999</v>
      </c>
      <c r="W24" s="19">
        <f t="shared" si="6"/>
        <v>-6.1035</v>
      </c>
      <c r="X24" s="19">
        <f t="shared" si="6"/>
        <v>-4.79770000000001</v>
      </c>
      <c r="Y24" s="19">
        <f t="shared" si="6"/>
        <v>-4.9337</v>
      </c>
      <c r="Z24" s="19">
        <f t="shared" si="6"/>
        <v>-6.7672</v>
      </c>
      <c r="AA24" s="19">
        <f t="shared" si="6"/>
        <v>-4.3335</v>
      </c>
    </row>
    <row r="25" s="1" customFormat="1" ht="20" hidden="1" customHeight="1" spans="1:27">
      <c r="A25" s="15">
        <v>46089</v>
      </c>
      <c r="B25" s="16">
        <v>4303121811816</v>
      </c>
      <c r="C25" s="17" t="s">
        <v>37</v>
      </c>
      <c r="D25" s="20">
        <v>85.11</v>
      </c>
      <c r="E25" s="20">
        <v>87.28</v>
      </c>
      <c r="F25" s="20">
        <v>87.62</v>
      </c>
      <c r="G25" s="20">
        <v>87.11</v>
      </c>
      <c r="H25" s="20">
        <v>86.33</v>
      </c>
      <c r="I25" s="20">
        <v>84.54</v>
      </c>
      <c r="J25" s="20">
        <v>81.22</v>
      </c>
      <c r="K25" s="20">
        <v>78.22</v>
      </c>
      <c r="L25" s="20">
        <v>82.54</v>
      </c>
      <c r="M25" s="20">
        <v>81.66</v>
      </c>
      <c r="N25" s="20">
        <v>80.77</v>
      </c>
      <c r="O25" s="20">
        <v>78.05</v>
      </c>
      <c r="P25" s="20">
        <v>76.22</v>
      </c>
      <c r="Q25" s="20">
        <v>79.74</v>
      </c>
      <c r="R25" s="20">
        <v>81.33</v>
      </c>
      <c r="S25" s="20">
        <v>81.85</v>
      </c>
      <c r="T25" s="20">
        <v>83.28</v>
      </c>
      <c r="U25" s="20">
        <v>80.66</v>
      </c>
      <c r="V25" s="20">
        <v>79.51</v>
      </c>
      <c r="W25" s="20">
        <v>77.89</v>
      </c>
      <c r="X25" s="20">
        <v>80.89</v>
      </c>
      <c r="Y25" s="20">
        <v>81.21</v>
      </c>
      <c r="Z25" s="20">
        <v>80.22</v>
      </c>
      <c r="AA25" s="20">
        <v>76.21</v>
      </c>
    </row>
    <row r="26" s="1" customFormat="1" ht="20" customHeight="1" spans="1:28">
      <c r="A26" s="15"/>
      <c r="B26" s="16"/>
      <c r="C26" s="17" t="s">
        <v>38</v>
      </c>
      <c r="D26" s="20">
        <v>88.3749</v>
      </c>
      <c r="E26" s="20">
        <v>93.7393</v>
      </c>
      <c r="F26" s="20">
        <v>93.247</v>
      </c>
      <c r="G26" s="20">
        <v>93.6549</v>
      </c>
      <c r="H26" s="20">
        <v>92.4135</v>
      </c>
      <c r="I26" s="20">
        <v>90.7069</v>
      </c>
      <c r="J26" s="20">
        <v>85.7489</v>
      </c>
      <c r="K26" s="20">
        <v>79.3443</v>
      </c>
      <c r="L26" s="20">
        <v>84.839</v>
      </c>
      <c r="M26" s="20">
        <v>84.6103</v>
      </c>
      <c r="N26" s="20">
        <v>82.6566</v>
      </c>
      <c r="O26" s="20">
        <v>79.5379</v>
      </c>
      <c r="P26" s="20">
        <v>80.0976</v>
      </c>
      <c r="Q26" s="20">
        <v>83.6545</v>
      </c>
      <c r="R26" s="20">
        <v>83.7443</v>
      </c>
      <c r="S26" s="20">
        <v>84.5909</v>
      </c>
      <c r="T26" s="20">
        <v>83.6158</v>
      </c>
      <c r="U26" s="20">
        <v>84.2336</v>
      </c>
      <c r="V26" s="20">
        <v>79.5784</v>
      </c>
      <c r="W26" s="20">
        <v>79.2414</v>
      </c>
      <c r="X26" s="20">
        <v>84.9763</v>
      </c>
      <c r="Y26" s="20">
        <v>83.9063</v>
      </c>
      <c r="Z26" s="20">
        <v>80.2632</v>
      </c>
      <c r="AA26" s="20">
        <v>78.8542</v>
      </c>
      <c r="AB26" s="21">
        <f>MAX(D26:AA26)</f>
        <v>93.7393</v>
      </c>
    </row>
    <row r="27" s="1" customFormat="1" ht="20" hidden="1" customHeight="1" spans="1:27">
      <c r="A27" s="15"/>
      <c r="B27" s="16"/>
      <c r="C27" s="17" t="s">
        <v>39</v>
      </c>
      <c r="D27" s="20">
        <f t="shared" ref="D27:AA27" si="7">D25-D26</f>
        <v>-3.2649</v>
      </c>
      <c r="E27" s="20">
        <f t="shared" si="7"/>
        <v>-6.4593</v>
      </c>
      <c r="F27" s="20">
        <f t="shared" si="7"/>
        <v>-5.627</v>
      </c>
      <c r="G27" s="20">
        <f t="shared" si="7"/>
        <v>-6.5449</v>
      </c>
      <c r="H27" s="20">
        <f t="shared" si="7"/>
        <v>-6.0835</v>
      </c>
      <c r="I27" s="20">
        <f t="shared" si="7"/>
        <v>-6.1669</v>
      </c>
      <c r="J27" s="20">
        <f t="shared" si="7"/>
        <v>-4.52890000000001</v>
      </c>
      <c r="K27" s="20">
        <f t="shared" si="7"/>
        <v>-1.12430000000001</v>
      </c>
      <c r="L27" s="20">
        <f t="shared" si="7"/>
        <v>-2.29899999999999</v>
      </c>
      <c r="M27" s="20">
        <f t="shared" si="7"/>
        <v>-2.9503</v>
      </c>
      <c r="N27" s="20">
        <f t="shared" si="7"/>
        <v>-1.8866</v>
      </c>
      <c r="O27" s="20">
        <f t="shared" si="7"/>
        <v>-1.4879</v>
      </c>
      <c r="P27" s="20">
        <f t="shared" si="7"/>
        <v>-3.8776</v>
      </c>
      <c r="Q27" s="20">
        <f t="shared" si="7"/>
        <v>-3.9145</v>
      </c>
      <c r="R27" s="20">
        <f t="shared" si="7"/>
        <v>-2.4143</v>
      </c>
      <c r="S27" s="20">
        <f t="shared" si="7"/>
        <v>-2.74090000000001</v>
      </c>
      <c r="T27" s="20">
        <f t="shared" si="7"/>
        <v>-0.335799999999992</v>
      </c>
      <c r="U27" s="20">
        <f t="shared" si="7"/>
        <v>-3.5736</v>
      </c>
      <c r="V27" s="20">
        <f t="shared" si="7"/>
        <v>-0.0683999999999969</v>
      </c>
      <c r="W27" s="20">
        <f t="shared" si="7"/>
        <v>-1.3514</v>
      </c>
      <c r="X27" s="20">
        <f t="shared" si="7"/>
        <v>-4.08629999999999</v>
      </c>
      <c r="Y27" s="20">
        <f t="shared" si="7"/>
        <v>-2.69630000000001</v>
      </c>
      <c r="Z27" s="20">
        <f t="shared" si="7"/>
        <v>-0.0431999999999988</v>
      </c>
      <c r="AA27" s="20">
        <f t="shared" si="7"/>
        <v>-2.64420000000001</v>
      </c>
    </row>
    <row r="28" s="1" customFormat="1" ht="20" hidden="1" customHeight="1" spans="1:27">
      <c r="A28" s="15">
        <v>46090</v>
      </c>
      <c r="B28" s="16">
        <v>4303121811816</v>
      </c>
      <c r="C28" s="17" t="s">
        <v>37</v>
      </c>
      <c r="D28" s="19">
        <v>76.55</v>
      </c>
      <c r="E28" s="19">
        <v>80.28</v>
      </c>
      <c r="F28" s="19">
        <v>79.66</v>
      </c>
      <c r="G28" s="19">
        <v>79.75</v>
      </c>
      <c r="H28" s="19">
        <v>81.22</v>
      </c>
      <c r="I28" s="19">
        <v>78.52</v>
      </c>
      <c r="J28" s="19">
        <v>78.71</v>
      </c>
      <c r="K28" s="19">
        <v>86.28</v>
      </c>
      <c r="L28" s="19">
        <v>94.58</v>
      </c>
      <c r="M28" s="19">
        <v>94.66</v>
      </c>
      <c r="N28" s="19">
        <v>95.38</v>
      </c>
      <c r="O28" s="19">
        <v>87.87</v>
      </c>
      <c r="P28" s="19">
        <v>87.54</v>
      </c>
      <c r="Q28" s="19">
        <v>95.33</v>
      </c>
      <c r="R28" s="19">
        <v>95.68</v>
      </c>
      <c r="S28" s="19">
        <v>95.28</v>
      </c>
      <c r="T28" s="19">
        <v>96.66</v>
      </c>
      <c r="U28" s="19">
        <v>94.28</v>
      </c>
      <c r="V28" s="19">
        <v>89.58</v>
      </c>
      <c r="W28" s="19">
        <v>84.66</v>
      </c>
      <c r="X28" s="19">
        <v>91.54</v>
      </c>
      <c r="Y28" s="19">
        <v>89.79</v>
      </c>
      <c r="Z28" s="19">
        <v>87.33</v>
      </c>
      <c r="AA28" s="19">
        <v>84.62</v>
      </c>
    </row>
    <row r="29" s="1" customFormat="1" ht="20" customHeight="1" spans="1:28">
      <c r="A29" s="15"/>
      <c r="B29" s="16"/>
      <c r="C29" s="17" t="s">
        <v>38</v>
      </c>
      <c r="D29" s="19">
        <v>78.8234</v>
      </c>
      <c r="E29" s="19">
        <v>83.0579</v>
      </c>
      <c r="F29" s="19">
        <v>82.0917</v>
      </c>
      <c r="G29" s="19">
        <v>82.2639</v>
      </c>
      <c r="H29" s="19">
        <v>84.7458</v>
      </c>
      <c r="I29" s="19">
        <v>83.4152</v>
      </c>
      <c r="J29" s="19">
        <v>83.6581</v>
      </c>
      <c r="K29" s="19">
        <v>86.4604</v>
      </c>
      <c r="L29" s="19">
        <v>100.4537</v>
      </c>
      <c r="M29" s="19">
        <v>101.6739</v>
      </c>
      <c r="N29" s="19">
        <v>99.5984</v>
      </c>
      <c r="O29" s="19">
        <v>96.6732</v>
      </c>
      <c r="P29" s="19">
        <v>94.8499</v>
      </c>
      <c r="Q29" s="19">
        <v>101.4323</v>
      </c>
      <c r="R29" s="19">
        <v>102.0519</v>
      </c>
      <c r="S29" s="19">
        <v>102.4707</v>
      </c>
      <c r="T29" s="19">
        <v>103.3472</v>
      </c>
      <c r="U29" s="19">
        <v>101.1947</v>
      </c>
      <c r="V29" s="19">
        <v>96.1435</v>
      </c>
      <c r="W29" s="19">
        <v>93.2131</v>
      </c>
      <c r="X29" s="19">
        <v>98.4597</v>
      </c>
      <c r="Y29" s="19">
        <v>97.0992</v>
      </c>
      <c r="Z29" s="19">
        <v>97.2593</v>
      </c>
      <c r="AA29" s="19">
        <v>91.7136</v>
      </c>
      <c r="AB29" s="21">
        <f>MAX(D29:AA29)</f>
        <v>103.3472</v>
      </c>
    </row>
    <row r="30" s="1" customFormat="1" ht="20" hidden="1" customHeight="1" spans="1:27">
      <c r="A30" s="15"/>
      <c r="B30" s="16"/>
      <c r="C30" s="17" t="s">
        <v>39</v>
      </c>
      <c r="D30" s="19">
        <f t="shared" ref="D30:AA30" si="8">D28-D29</f>
        <v>-2.27340000000001</v>
      </c>
      <c r="E30" s="19">
        <f t="shared" si="8"/>
        <v>-2.7779</v>
      </c>
      <c r="F30" s="19">
        <f t="shared" si="8"/>
        <v>-2.43170000000001</v>
      </c>
      <c r="G30" s="19">
        <f t="shared" si="8"/>
        <v>-2.51390000000001</v>
      </c>
      <c r="H30" s="19">
        <f t="shared" si="8"/>
        <v>-3.5258</v>
      </c>
      <c r="I30" s="19">
        <f t="shared" si="8"/>
        <v>-4.8952</v>
      </c>
      <c r="J30" s="19">
        <f t="shared" si="8"/>
        <v>-4.94810000000001</v>
      </c>
      <c r="K30" s="19">
        <f t="shared" si="8"/>
        <v>-0.180400000000006</v>
      </c>
      <c r="L30" s="19">
        <f t="shared" si="8"/>
        <v>-5.8737</v>
      </c>
      <c r="M30" s="19">
        <f t="shared" si="8"/>
        <v>-7.01390000000001</v>
      </c>
      <c r="N30" s="19">
        <f t="shared" si="8"/>
        <v>-4.2184</v>
      </c>
      <c r="O30" s="19">
        <f t="shared" si="8"/>
        <v>-8.80319999999999</v>
      </c>
      <c r="P30" s="19">
        <f t="shared" si="8"/>
        <v>-7.3099</v>
      </c>
      <c r="Q30" s="19">
        <f t="shared" si="8"/>
        <v>-6.1023</v>
      </c>
      <c r="R30" s="19">
        <f t="shared" si="8"/>
        <v>-6.3719</v>
      </c>
      <c r="S30" s="19">
        <f t="shared" si="8"/>
        <v>-7.19069999999999</v>
      </c>
      <c r="T30" s="19">
        <f t="shared" si="8"/>
        <v>-6.6872</v>
      </c>
      <c r="U30" s="19">
        <f t="shared" si="8"/>
        <v>-6.9147</v>
      </c>
      <c r="V30" s="19">
        <f t="shared" si="8"/>
        <v>-6.5635</v>
      </c>
      <c r="W30" s="19">
        <f t="shared" si="8"/>
        <v>-8.5531</v>
      </c>
      <c r="X30" s="19">
        <f t="shared" si="8"/>
        <v>-6.91969999999999</v>
      </c>
      <c r="Y30" s="19">
        <f t="shared" si="8"/>
        <v>-7.30919999999999</v>
      </c>
      <c r="Z30" s="19">
        <f t="shared" si="8"/>
        <v>-9.9293</v>
      </c>
      <c r="AA30" s="19">
        <f t="shared" si="8"/>
        <v>-7.0936</v>
      </c>
    </row>
    <row r="31" s="1" customFormat="1" ht="20" hidden="1" customHeight="1" spans="1:27">
      <c r="A31" s="15">
        <v>46091</v>
      </c>
      <c r="B31" s="16">
        <v>4303121811816</v>
      </c>
      <c r="C31" s="17" t="s">
        <v>37</v>
      </c>
      <c r="D31" s="20">
        <v>88.68</v>
      </c>
      <c r="E31" s="20">
        <v>92.58</v>
      </c>
      <c r="F31" s="20">
        <v>95.11</v>
      </c>
      <c r="G31" s="20">
        <v>93.65</v>
      </c>
      <c r="H31" s="20">
        <v>92.55</v>
      </c>
      <c r="I31" s="20">
        <v>92.66</v>
      </c>
      <c r="J31" s="20">
        <v>91.58</v>
      </c>
      <c r="K31" s="20">
        <v>91.68</v>
      </c>
      <c r="L31" s="20">
        <v>97.62</v>
      </c>
      <c r="M31" s="20">
        <v>98.58</v>
      </c>
      <c r="N31" s="20">
        <v>94.33</v>
      </c>
      <c r="O31" s="20">
        <v>92.32</v>
      </c>
      <c r="P31" s="20">
        <v>96.55</v>
      </c>
      <c r="Q31" s="20">
        <v>97.28</v>
      </c>
      <c r="R31" s="20">
        <v>98.58</v>
      </c>
      <c r="S31" s="20">
        <v>98.66</v>
      </c>
      <c r="T31" s="20">
        <v>99.22</v>
      </c>
      <c r="U31" s="20">
        <v>99.35</v>
      </c>
      <c r="V31" s="20">
        <v>94.11</v>
      </c>
      <c r="W31" s="20">
        <v>90.52</v>
      </c>
      <c r="X31" s="20">
        <v>94.52</v>
      </c>
      <c r="Y31" s="20">
        <v>93.22</v>
      </c>
      <c r="Z31" s="20">
        <v>91.58</v>
      </c>
      <c r="AA31" s="20">
        <v>86.77</v>
      </c>
    </row>
    <row r="32" s="1" customFormat="1" ht="20" customHeight="1" spans="1:28">
      <c r="A32" s="15"/>
      <c r="B32" s="16"/>
      <c r="C32" s="17" t="s">
        <v>38</v>
      </c>
      <c r="D32" s="20">
        <v>90.1296</v>
      </c>
      <c r="E32" s="20">
        <v>94.6264</v>
      </c>
      <c r="F32" s="20">
        <v>96.7068</v>
      </c>
      <c r="G32" s="20">
        <v>96.4269</v>
      </c>
      <c r="H32" s="20">
        <v>95.9763</v>
      </c>
      <c r="I32" s="20">
        <v>94.5578</v>
      </c>
      <c r="J32" s="20">
        <v>91.8034</v>
      </c>
      <c r="K32" s="20">
        <v>93.4806</v>
      </c>
      <c r="L32" s="20">
        <v>103.569</v>
      </c>
      <c r="M32" s="20">
        <v>102.0712</v>
      </c>
      <c r="N32" s="20">
        <v>98.648</v>
      </c>
      <c r="O32" s="20">
        <v>94.4046</v>
      </c>
      <c r="P32" s="20">
        <v>84.6718</v>
      </c>
      <c r="Q32" s="20">
        <v>90.0486</v>
      </c>
      <c r="R32" s="20">
        <v>92.7995</v>
      </c>
      <c r="S32" s="20">
        <v>94.7021</v>
      </c>
      <c r="T32" s="20">
        <v>97.8718</v>
      </c>
      <c r="U32" s="20">
        <v>98.8733</v>
      </c>
      <c r="V32" s="20">
        <v>96.1118</v>
      </c>
      <c r="W32" s="20">
        <v>92.0674</v>
      </c>
      <c r="X32" s="20">
        <v>96.6962</v>
      </c>
      <c r="Y32" s="20">
        <v>97.0693</v>
      </c>
      <c r="Z32" s="20">
        <v>95.9148</v>
      </c>
      <c r="AA32" s="20">
        <v>92.9315</v>
      </c>
      <c r="AB32" s="21">
        <f>MAX(D32:AA32)</f>
        <v>103.569</v>
      </c>
    </row>
    <row r="33" s="1" customFormat="1" ht="20" hidden="1" customHeight="1" spans="1:27">
      <c r="A33" s="15"/>
      <c r="B33" s="16"/>
      <c r="C33" s="17" t="s">
        <v>39</v>
      </c>
      <c r="D33" s="20">
        <f t="shared" ref="D33:AA33" si="9">D31-D32</f>
        <v>-1.44959999999999</v>
      </c>
      <c r="E33" s="20">
        <f t="shared" si="9"/>
        <v>-2.04640000000001</v>
      </c>
      <c r="F33" s="20">
        <f t="shared" si="9"/>
        <v>-1.5968</v>
      </c>
      <c r="G33" s="20">
        <f t="shared" si="9"/>
        <v>-2.7769</v>
      </c>
      <c r="H33" s="20">
        <f t="shared" si="9"/>
        <v>-3.4263</v>
      </c>
      <c r="I33" s="20">
        <f t="shared" si="9"/>
        <v>-1.8978</v>
      </c>
      <c r="J33" s="20">
        <f t="shared" si="9"/>
        <v>-0.223399999999998</v>
      </c>
      <c r="K33" s="20">
        <f t="shared" si="9"/>
        <v>-1.80059999999999</v>
      </c>
      <c r="L33" s="20">
        <f t="shared" si="9"/>
        <v>-5.949</v>
      </c>
      <c r="M33" s="20">
        <f t="shared" si="9"/>
        <v>-3.49120000000001</v>
      </c>
      <c r="N33" s="20">
        <f t="shared" si="9"/>
        <v>-4.318</v>
      </c>
      <c r="O33" s="20">
        <f t="shared" si="9"/>
        <v>-2.08460000000001</v>
      </c>
      <c r="P33" s="20">
        <f t="shared" si="9"/>
        <v>11.8782</v>
      </c>
      <c r="Q33" s="20">
        <f t="shared" si="9"/>
        <v>7.23140000000001</v>
      </c>
      <c r="R33" s="20">
        <f t="shared" si="9"/>
        <v>5.7805</v>
      </c>
      <c r="S33" s="20">
        <f t="shared" si="9"/>
        <v>3.95789999999999</v>
      </c>
      <c r="T33" s="20">
        <f t="shared" si="9"/>
        <v>1.34820000000001</v>
      </c>
      <c r="U33" s="20">
        <f t="shared" si="9"/>
        <v>0.476699999999994</v>
      </c>
      <c r="V33" s="20">
        <f t="shared" si="9"/>
        <v>-2.0018</v>
      </c>
      <c r="W33" s="20">
        <f t="shared" si="9"/>
        <v>-1.54740000000001</v>
      </c>
      <c r="X33" s="20">
        <f t="shared" si="9"/>
        <v>-2.17620000000001</v>
      </c>
      <c r="Y33" s="20">
        <f t="shared" si="9"/>
        <v>-3.8493</v>
      </c>
      <c r="Z33" s="20">
        <f t="shared" si="9"/>
        <v>-4.3348</v>
      </c>
      <c r="AA33" s="20">
        <f t="shared" si="9"/>
        <v>-6.1615</v>
      </c>
    </row>
    <row r="34" s="1" customFormat="1" ht="20" hidden="1" customHeight="1" spans="1:27">
      <c r="A34" s="15">
        <v>46092</v>
      </c>
      <c r="B34" s="16">
        <v>4303121811816</v>
      </c>
      <c r="C34" s="17" t="s">
        <v>37</v>
      </c>
      <c r="D34" s="19">
        <v>88.77</v>
      </c>
      <c r="E34" s="19">
        <v>92.55</v>
      </c>
      <c r="F34" s="19">
        <v>95.31</v>
      </c>
      <c r="G34" s="19">
        <v>93.58</v>
      </c>
      <c r="H34" s="19">
        <v>92.66</v>
      </c>
      <c r="I34" s="19">
        <v>92.81</v>
      </c>
      <c r="J34" s="19">
        <v>91.62</v>
      </c>
      <c r="K34" s="19">
        <v>91.77</v>
      </c>
      <c r="L34" s="19">
        <v>97.71</v>
      </c>
      <c r="M34" s="19">
        <v>98.48</v>
      </c>
      <c r="N34" s="19">
        <v>94.28</v>
      </c>
      <c r="O34" s="19">
        <v>93.11</v>
      </c>
      <c r="P34" s="19">
        <v>96.62</v>
      </c>
      <c r="Q34" s="19">
        <v>97.33</v>
      </c>
      <c r="R34" s="19">
        <v>98.62</v>
      </c>
      <c r="S34" s="19">
        <v>98.72</v>
      </c>
      <c r="T34" s="19">
        <v>99.18</v>
      </c>
      <c r="U34" s="19">
        <v>98.68</v>
      </c>
      <c r="V34" s="19">
        <v>94.22</v>
      </c>
      <c r="W34" s="19">
        <v>90.48</v>
      </c>
      <c r="X34" s="19">
        <v>94.62</v>
      </c>
      <c r="Y34" s="19">
        <v>93.31</v>
      </c>
      <c r="Z34" s="19">
        <v>92.22</v>
      </c>
      <c r="AA34" s="19">
        <v>86.58</v>
      </c>
    </row>
    <row r="35" s="1" customFormat="1" ht="20" customHeight="1" spans="1:28">
      <c r="A35" s="15"/>
      <c r="B35" s="16"/>
      <c r="C35" s="17" t="s">
        <v>38</v>
      </c>
      <c r="D35" s="19">
        <v>92.9072</v>
      </c>
      <c r="E35" s="19">
        <v>96.3706</v>
      </c>
      <c r="F35" s="19">
        <v>96.2329</v>
      </c>
      <c r="G35" s="19">
        <v>96.9112</v>
      </c>
      <c r="H35" s="19">
        <v>95.3968</v>
      </c>
      <c r="I35" s="19">
        <v>95.1615</v>
      </c>
      <c r="J35" s="19">
        <v>94.864</v>
      </c>
      <c r="K35" s="19">
        <v>91.6116</v>
      </c>
      <c r="L35" s="19">
        <v>94.1969</v>
      </c>
      <c r="M35" s="19">
        <v>94.6475</v>
      </c>
      <c r="N35" s="19">
        <v>92.847</v>
      </c>
      <c r="O35" s="19">
        <v>88.1356</v>
      </c>
      <c r="P35" s="19">
        <v>85.4078</v>
      </c>
      <c r="Q35" s="19">
        <v>89.6984</v>
      </c>
      <c r="R35" s="19">
        <v>92.6728</v>
      </c>
      <c r="S35" s="19">
        <v>94.7723</v>
      </c>
      <c r="T35" s="19">
        <v>95.8753</v>
      </c>
      <c r="U35" s="19">
        <v>99.0658</v>
      </c>
      <c r="V35" s="19">
        <v>93.5492</v>
      </c>
      <c r="W35" s="19">
        <v>95.4466</v>
      </c>
      <c r="X35" s="19">
        <v>95.9024</v>
      </c>
      <c r="Y35" s="19">
        <v>94.7196</v>
      </c>
      <c r="Z35" s="19">
        <v>95.4448</v>
      </c>
      <c r="AA35" s="19">
        <v>89.7688</v>
      </c>
      <c r="AB35" s="21">
        <f>MAX(D35:AA35)</f>
        <v>99.0658</v>
      </c>
    </row>
    <row r="36" s="1" customFormat="1" ht="20" hidden="1" customHeight="1" spans="1:27">
      <c r="A36" s="15"/>
      <c r="B36" s="16"/>
      <c r="C36" s="17" t="s">
        <v>39</v>
      </c>
      <c r="D36" s="19">
        <f t="shared" ref="D36:AA36" si="10">D34-D35</f>
        <v>-4.13720000000001</v>
      </c>
      <c r="E36" s="19">
        <f t="shared" si="10"/>
        <v>-3.8206</v>
      </c>
      <c r="F36" s="19">
        <f t="shared" si="10"/>
        <v>-0.922899999999998</v>
      </c>
      <c r="G36" s="19">
        <f t="shared" si="10"/>
        <v>-3.3312</v>
      </c>
      <c r="H36" s="19">
        <f t="shared" si="10"/>
        <v>-2.7368</v>
      </c>
      <c r="I36" s="19">
        <f t="shared" si="10"/>
        <v>-2.3515</v>
      </c>
      <c r="J36" s="19">
        <f t="shared" si="10"/>
        <v>-3.244</v>
      </c>
      <c r="K36" s="19">
        <f t="shared" si="10"/>
        <v>0.1584</v>
      </c>
      <c r="L36" s="19">
        <f t="shared" si="10"/>
        <v>3.51309999999999</v>
      </c>
      <c r="M36" s="19">
        <f t="shared" si="10"/>
        <v>3.83250000000001</v>
      </c>
      <c r="N36" s="19">
        <f t="shared" si="10"/>
        <v>1.43300000000001</v>
      </c>
      <c r="O36" s="19">
        <f t="shared" si="10"/>
        <v>4.9744</v>
      </c>
      <c r="P36" s="19">
        <f t="shared" si="10"/>
        <v>11.2122</v>
      </c>
      <c r="Q36" s="19">
        <f t="shared" si="10"/>
        <v>7.63159999999999</v>
      </c>
      <c r="R36" s="19">
        <f t="shared" si="10"/>
        <v>5.94720000000001</v>
      </c>
      <c r="S36" s="19">
        <f t="shared" si="10"/>
        <v>3.9477</v>
      </c>
      <c r="T36" s="19">
        <f t="shared" si="10"/>
        <v>3.30470000000001</v>
      </c>
      <c r="U36" s="19">
        <f t="shared" si="10"/>
        <v>-0.385799999999989</v>
      </c>
      <c r="V36" s="19">
        <f t="shared" si="10"/>
        <v>0.6708</v>
      </c>
      <c r="W36" s="19">
        <f t="shared" si="10"/>
        <v>-4.9666</v>
      </c>
      <c r="X36" s="19">
        <f t="shared" si="10"/>
        <v>-1.2824</v>
      </c>
      <c r="Y36" s="19">
        <f t="shared" si="10"/>
        <v>-1.4096</v>
      </c>
      <c r="Z36" s="19">
        <f t="shared" si="10"/>
        <v>-3.2248</v>
      </c>
      <c r="AA36" s="19">
        <f t="shared" si="10"/>
        <v>-3.1888</v>
      </c>
    </row>
    <row r="37" s="1" customFormat="1" ht="20" hidden="1" customHeight="1" spans="1:27">
      <c r="A37" s="15">
        <v>46093</v>
      </c>
      <c r="B37" s="16">
        <v>4303121811816</v>
      </c>
      <c r="C37" s="17" t="s">
        <v>37</v>
      </c>
      <c r="D37" s="20">
        <v>89.59</v>
      </c>
      <c r="E37" s="20">
        <v>94.33</v>
      </c>
      <c r="F37" s="20">
        <v>93.89</v>
      </c>
      <c r="G37" s="20">
        <v>93.55</v>
      </c>
      <c r="H37" s="20">
        <v>93.62</v>
      </c>
      <c r="I37" s="20">
        <v>93.75</v>
      </c>
      <c r="J37" s="20">
        <v>92.33</v>
      </c>
      <c r="K37" s="20">
        <v>94.55</v>
      </c>
      <c r="L37" s="20">
        <v>98.11</v>
      </c>
      <c r="M37" s="20">
        <v>98.26</v>
      </c>
      <c r="N37" s="20">
        <v>95.33</v>
      </c>
      <c r="O37" s="20">
        <v>93.21</v>
      </c>
      <c r="P37" s="20">
        <v>94.18</v>
      </c>
      <c r="Q37" s="20">
        <v>95.69</v>
      </c>
      <c r="R37" s="20">
        <v>98.58</v>
      </c>
      <c r="S37" s="20">
        <v>98.66</v>
      </c>
      <c r="T37" s="20">
        <v>99.76</v>
      </c>
      <c r="U37" s="20">
        <v>98.45</v>
      </c>
      <c r="V37" s="20">
        <v>94.33</v>
      </c>
      <c r="W37" s="20">
        <v>90.28</v>
      </c>
      <c r="X37" s="20">
        <v>94.68</v>
      </c>
      <c r="Y37" s="20">
        <v>98.79</v>
      </c>
      <c r="Z37" s="20">
        <v>94.28</v>
      </c>
      <c r="AA37" s="20">
        <v>89.33</v>
      </c>
    </row>
    <row r="38" s="1" customFormat="1" ht="20" customHeight="1" spans="1:28">
      <c r="A38" s="15"/>
      <c r="B38" s="16"/>
      <c r="C38" s="17" t="s">
        <v>38</v>
      </c>
      <c r="D38" s="20">
        <v>89.482</v>
      </c>
      <c r="E38" s="20">
        <v>94.5895</v>
      </c>
      <c r="F38" s="20">
        <v>94.8724</v>
      </c>
      <c r="G38" s="20">
        <v>94.7707</v>
      </c>
      <c r="H38" s="20">
        <v>93.9034</v>
      </c>
      <c r="I38" s="20">
        <v>92.4352</v>
      </c>
      <c r="J38" s="20">
        <v>90.5661</v>
      </c>
      <c r="K38" s="20">
        <v>89.0123</v>
      </c>
      <c r="L38" s="20">
        <v>95.4343</v>
      </c>
      <c r="M38" s="20">
        <v>91.7288</v>
      </c>
      <c r="N38" s="20">
        <v>87.2638</v>
      </c>
      <c r="O38" s="20">
        <v>84.7669</v>
      </c>
      <c r="P38" s="20">
        <v>90.2211</v>
      </c>
      <c r="Q38" s="20">
        <v>88.8886</v>
      </c>
      <c r="R38" s="20">
        <v>92.2181</v>
      </c>
      <c r="S38" s="20">
        <v>96.3441</v>
      </c>
      <c r="T38" s="20">
        <v>97.9581</v>
      </c>
      <c r="U38" s="20">
        <v>98.3777</v>
      </c>
      <c r="V38" s="20">
        <v>95.7797</v>
      </c>
      <c r="W38" s="20">
        <v>93.9646</v>
      </c>
      <c r="X38" s="20">
        <v>96.6081</v>
      </c>
      <c r="Y38" s="20">
        <v>95.1033</v>
      </c>
      <c r="Z38" s="20">
        <v>97.3931</v>
      </c>
      <c r="AA38" s="20">
        <v>91.3686</v>
      </c>
      <c r="AB38" s="21">
        <f>MAX(D38:AA38)</f>
        <v>98.3777</v>
      </c>
    </row>
    <row r="39" s="1" customFormat="1" ht="20" hidden="1" customHeight="1" spans="1:27">
      <c r="A39" s="15"/>
      <c r="B39" s="16"/>
      <c r="C39" s="17" t="s">
        <v>39</v>
      </c>
      <c r="D39" s="20">
        <f t="shared" ref="D39:AA39" si="11">D37-D38</f>
        <v>0.108000000000004</v>
      </c>
      <c r="E39" s="20">
        <f t="shared" si="11"/>
        <v>-0.259500000000003</v>
      </c>
      <c r="F39" s="20">
        <f t="shared" si="11"/>
        <v>-0.982399999999998</v>
      </c>
      <c r="G39" s="20">
        <f t="shared" si="11"/>
        <v>-1.22070000000001</v>
      </c>
      <c r="H39" s="20">
        <f t="shared" si="11"/>
        <v>-0.2834</v>
      </c>
      <c r="I39" s="20">
        <f t="shared" si="11"/>
        <v>1.31480000000001</v>
      </c>
      <c r="J39" s="20">
        <f t="shared" si="11"/>
        <v>1.76389999999999</v>
      </c>
      <c r="K39" s="20">
        <f t="shared" si="11"/>
        <v>5.5377</v>
      </c>
      <c r="L39" s="20">
        <f t="shared" si="11"/>
        <v>2.67570000000001</v>
      </c>
      <c r="M39" s="20">
        <f t="shared" si="11"/>
        <v>6.5312</v>
      </c>
      <c r="N39" s="20">
        <f t="shared" si="11"/>
        <v>8.06619999999999</v>
      </c>
      <c r="O39" s="20">
        <f t="shared" si="11"/>
        <v>8.44309999999999</v>
      </c>
      <c r="P39" s="20">
        <f t="shared" si="11"/>
        <v>3.9589</v>
      </c>
      <c r="Q39" s="20">
        <f t="shared" si="11"/>
        <v>6.8014</v>
      </c>
      <c r="R39" s="20">
        <f t="shared" si="11"/>
        <v>6.36189999999999</v>
      </c>
      <c r="S39" s="20">
        <f t="shared" si="11"/>
        <v>2.3159</v>
      </c>
      <c r="T39" s="20">
        <f t="shared" si="11"/>
        <v>1.8019</v>
      </c>
      <c r="U39" s="20">
        <f t="shared" si="11"/>
        <v>0.0722999999999985</v>
      </c>
      <c r="V39" s="20">
        <f t="shared" si="11"/>
        <v>-1.44970000000001</v>
      </c>
      <c r="W39" s="20">
        <f t="shared" si="11"/>
        <v>-3.6846</v>
      </c>
      <c r="X39" s="20">
        <f t="shared" si="11"/>
        <v>-1.92809999999999</v>
      </c>
      <c r="Y39" s="20">
        <f t="shared" si="11"/>
        <v>3.6867</v>
      </c>
      <c r="Z39" s="20">
        <f t="shared" si="11"/>
        <v>-3.1131</v>
      </c>
      <c r="AA39" s="20">
        <f t="shared" si="11"/>
        <v>-2.0386</v>
      </c>
    </row>
    <row r="40" s="1" customFormat="1" ht="20" hidden="1" customHeight="1" spans="1:27">
      <c r="A40" s="15">
        <v>46094</v>
      </c>
      <c r="B40" s="16">
        <v>4303121811816</v>
      </c>
      <c r="C40" s="17" t="s">
        <v>37</v>
      </c>
      <c r="D40" s="19">
        <v>89.62</v>
      </c>
      <c r="E40" s="19">
        <v>94.24</v>
      </c>
      <c r="F40" s="19">
        <v>93.74</v>
      </c>
      <c r="G40" s="19">
        <v>93.66</v>
      </c>
      <c r="H40" s="19">
        <v>93.58</v>
      </c>
      <c r="I40" s="19">
        <v>93.68</v>
      </c>
      <c r="J40" s="19">
        <v>92.41</v>
      </c>
      <c r="K40" s="19">
        <v>94.48</v>
      </c>
      <c r="L40" s="19">
        <v>98.21</v>
      </c>
      <c r="M40" s="19">
        <v>98.33</v>
      </c>
      <c r="N40" s="19">
        <v>95.28</v>
      </c>
      <c r="O40" s="19">
        <v>93.22</v>
      </c>
      <c r="P40" s="19">
        <v>94.21</v>
      </c>
      <c r="Q40" s="19">
        <v>95.58</v>
      </c>
      <c r="R40" s="19">
        <v>98.62</v>
      </c>
      <c r="S40" s="19">
        <v>98.71</v>
      </c>
      <c r="T40" s="19">
        <v>99.88</v>
      </c>
      <c r="U40" s="19">
        <v>98.62</v>
      </c>
      <c r="V40" s="19">
        <v>94.28</v>
      </c>
      <c r="W40" s="19">
        <v>90.33</v>
      </c>
      <c r="X40" s="19">
        <v>94.74</v>
      </c>
      <c r="Y40" s="19">
        <v>98.62</v>
      </c>
      <c r="Z40" s="19">
        <v>94.33</v>
      </c>
      <c r="AA40" s="19">
        <v>89.45</v>
      </c>
    </row>
    <row r="41" s="1" customFormat="1" ht="20" customHeight="1" spans="1:28">
      <c r="A41" s="15"/>
      <c r="B41" s="16"/>
      <c r="C41" s="17" t="s">
        <v>38</v>
      </c>
      <c r="D41" s="19">
        <v>89.8692</v>
      </c>
      <c r="E41" s="19">
        <v>95.1245</v>
      </c>
      <c r="F41" s="19">
        <v>95.2688</v>
      </c>
      <c r="G41" s="19">
        <v>95.2548</v>
      </c>
      <c r="H41" s="19">
        <v>95.1865</v>
      </c>
      <c r="I41" s="19">
        <v>94.5771</v>
      </c>
      <c r="J41" s="19">
        <v>91.9195</v>
      </c>
      <c r="K41" s="19">
        <v>88.4787</v>
      </c>
      <c r="L41" s="19">
        <v>93.2167</v>
      </c>
      <c r="M41" s="19">
        <v>91.0572</v>
      </c>
      <c r="N41" s="19">
        <v>91.1469</v>
      </c>
      <c r="O41" s="19">
        <v>84.04</v>
      </c>
      <c r="P41" s="19">
        <v>81.5725</v>
      </c>
      <c r="Q41" s="19">
        <v>87.9754</v>
      </c>
      <c r="R41" s="19">
        <v>90.6496</v>
      </c>
      <c r="S41" s="19">
        <v>93.9629</v>
      </c>
      <c r="T41" s="19">
        <v>96.0432</v>
      </c>
      <c r="U41" s="19">
        <v>97.027</v>
      </c>
      <c r="V41" s="19">
        <v>92.1342</v>
      </c>
      <c r="W41" s="19">
        <v>92.2438</v>
      </c>
      <c r="X41" s="19">
        <v>96.492</v>
      </c>
      <c r="Y41" s="19">
        <v>96.2896</v>
      </c>
      <c r="Z41" s="19">
        <v>95.6947</v>
      </c>
      <c r="AA41" s="19">
        <v>92.1632</v>
      </c>
      <c r="AB41" s="21">
        <f>MAX(D41:AA41)</f>
        <v>97.027</v>
      </c>
    </row>
    <row r="42" s="1" customFormat="1" ht="20" hidden="1" customHeight="1" spans="1:27">
      <c r="A42" s="15"/>
      <c r="B42" s="16"/>
      <c r="C42" s="17" t="s">
        <v>39</v>
      </c>
      <c r="D42" s="19">
        <f t="shared" ref="D42:AA42" si="12">D40-D41</f>
        <v>-0.249200000000002</v>
      </c>
      <c r="E42" s="19">
        <f t="shared" si="12"/>
        <v>-0.884500000000003</v>
      </c>
      <c r="F42" s="19">
        <f t="shared" si="12"/>
        <v>-1.5288</v>
      </c>
      <c r="G42" s="19">
        <f t="shared" si="12"/>
        <v>-1.59480000000001</v>
      </c>
      <c r="H42" s="19">
        <f t="shared" si="12"/>
        <v>-1.6065</v>
      </c>
      <c r="I42" s="19">
        <f t="shared" si="12"/>
        <v>-0.897099999999995</v>
      </c>
      <c r="J42" s="19">
        <f t="shared" si="12"/>
        <v>0.490499999999997</v>
      </c>
      <c r="K42" s="19">
        <f t="shared" si="12"/>
        <v>6.0013</v>
      </c>
      <c r="L42" s="19">
        <f t="shared" si="12"/>
        <v>4.99329999999999</v>
      </c>
      <c r="M42" s="19">
        <f t="shared" si="12"/>
        <v>7.2728</v>
      </c>
      <c r="N42" s="19">
        <f t="shared" si="12"/>
        <v>4.1331</v>
      </c>
      <c r="O42" s="19">
        <f t="shared" si="12"/>
        <v>9.17999999999999</v>
      </c>
      <c r="P42" s="19">
        <f t="shared" si="12"/>
        <v>12.6375</v>
      </c>
      <c r="Q42" s="19">
        <f t="shared" si="12"/>
        <v>7.6046</v>
      </c>
      <c r="R42" s="19">
        <f t="shared" si="12"/>
        <v>7.9704</v>
      </c>
      <c r="S42" s="19">
        <f t="shared" si="12"/>
        <v>4.74709999999999</v>
      </c>
      <c r="T42" s="19">
        <f t="shared" si="12"/>
        <v>3.8368</v>
      </c>
      <c r="U42" s="19">
        <f t="shared" si="12"/>
        <v>1.593</v>
      </c>
      <c r="V42" s="19">
        <f t="shared" si="12"/>
        <v>2.14579999999999</v>
      </c>
      <c r="W42" s="19">
        <f t="shared" si="12"/>
        <v>-1.91379999999999</v>
      </c>
      <c r="X42" s="19">
        <f t="shared" si="12"/>
        <v>-1.75200000000001</v>
      </c>
      <c r="Y42" s="19">
        <f t="shared" si="12"/>
        <v>2.33040000000001</v>
      </c>
      <c r="Z42" s="19">
        <f t="shared" si="12"/>
        <v>-1.3647</v>
      </c>
      <c r="AA42" s="19">
        <f t="shared" si="12"/>
        <v>-2.7132</v>
      </c>
    </row>
    <row r="43" s="1" customFormat="1" ht="20" hidden="1" customHeight="1" spans="1:27">
      <c r="A43" s="15">
        <v>46095</v>
      </c>
      <c r="B43" s="16">
        <v>4303121811816</v>
      </c>
      <c r="C43" s="17" t="s">
        <v>37</v>
      </c>
      <c r="D43" s="20">
        <v>89.58</v>
      </c>
      <c r="E43" s="20">
        <v>93.77</v>
      </c>
      <c r="F43" s="20">
        <v>93.88</v>
      </c>
      <c r="G43" s="20">
        <v>93.74</v>
      </c>
      <c r="H43" s="20">
        <v>94.12</v>
      </c>
      <c r="I43" s="20">
        <v>95.11</v>
      </c>
      <c r="J43" s="20">
        <v>90.58</v>
      </c>
      <c r="K43" s="20">
        <v>94.22</v>
      </c>
      <c r="L43" s="20">
        <v>98.33</v>
      </c>
      <c r="M43" s="20">
        <v>98.35</v>
      </c>
      <c r="N43" s="20">
        <v>95.33</v>
      </c>
      <c r="O43" s="20">
        <v>93.2</v>
      </c>
      <c r="P43" s="20">
        <v>94.18</v>
      </c>
      <c r="Q43" s="20">
        <v>95.44</v>
      </c>
      <c r="R43" s="20">
        <v>98.45</v>
      </c>
      <c r="S43" s="20">
        <v>98.62</v>
      </c>
      <c r="T43" s="20">
        <v>99.76</v>
      </c>
      <c r="U43" s="20">
        <v>98.58</v>
      </c>
      <c r="V43" s="20">
        <v>94.33</v>
      </c>
      <c r="W43" s="20">
        <v>90.28</v>
      </c>
      <c r="X43" s="20">
        <v>94.54</v>
      </c>
      <c r="Y43" s="20">
        <v>98.66</v>
      </c>
      <c r="Z43" s="20">
        <v>94.41</v>
      </c>
      <c r="AA43" s="20">
        <v>89.54</v>
      </c>
    </row>
    <row r="44" s="1" customFormat="1" ht="20" customHeight="1" spans="1:28">
      <c r="A44" s="15"/>
      <c r="B44" s="16"/>
      <c r="C44" s="17" t="s">
        <v>38</v>
      </c>
      <c r="D44" s="20">
        <v>90.3285</v>
      </c>
      <c r="E44" s="20">
        <v>95.8637</v>
      </c>
      <c r="F44" s="20">
        <v>96.6081</v>
      </c>
      <c r="G44" s="20">
        <v>95.2847</v>
      </c>
      <c r="H44" s="20">
        <v>96.1294</v>
      </c>
      <c r="I44" s="20">
        <v>96.0045</v>
      </c>
      <c r="J44" s="20">
        <v>93.8292</v>
      </c>
      <c r="K44" s="20">
        <v>90.8937</v>
      </c>
      <c r="L44" s="20">
        <v>92.3807</v>
      </c>
      <c r="M44" s="20">
        <v>90.6189</v>
      </c>
      <c r="N44" s="20">
        <v>85.7674</v>
      </c>
      <c r="O44" s="20">
        <v>93.7796</v>
      </c>
      <c r="P44" s="20">
        <v>80.476</v>
      </c>
      <c r="Q44" s="20">
        <v>89.621</v>
      </c>
      <c r="R44" s="20">
        <v>92.5637</v>
      </c>
      <c r="S44" s="20">
        <v>94.3026</v>
      </c>
      <c r="T44" s="20">
        <v>95.927</v>
      </c>
      <c r="U44" s="20">
        <v>97.6571</v>
      </c>
      <c r="V44" s="20">
        <v>94.0086</v>
      </c>
      <c r="W44" s="20">
        <v>90.6119</v>
      </c>
      <c r="X44" s="20">
        <v>95.274</v>
      </c>
      <c r="Y44" s="20">
        <v>95.2881</v>
      </c>
      <c r="Z44" s="20">
        <v>94.9573</v>
      </c>
      <c r="AA44" s="20">
        <v>89.6773</v>
      </c>
      <c r="AB44" s="21">
        <f>MAX(D44:AA44)</f>
        <v>97.6571</v>
      </c>
    </row>
    <row r="45" s="1" customFormat="1" ht="20" hidden="1" customHeight="1" spans="1:27">
      <c r="A45" s="15"/>
      <c r="B45" s="16"/>
      <c r="C45" s="17" t="s">
        <v>39</v>
      </c>
      <c r="D45" s="20">
        <f t="shared" ref="D45:AA45" si="13">D43-D44</f>
        <v>-0.748500000000007</v>
      </c>
      <c r="E45" s="20">
        <f t="shared" si="13"/>
        <v>-2.0937</v>
      </c>
      <c r="F45" s="20">
        <f t="shared" si="13"/>
        <v>-2.7281</v>
      </c>
      <c r="G45" s="20">
        <f t="shared" si="13"/>
        <v>-1.54470000000001</v>
      </c>
      <c r="H45" s="20">
        <f t="shared" si="13"/>
        <v>-2.0094</v>
      </c>
      <c r="I45" s="20">
        <f t="shared" si="13"/>
        <v>-0.894499999999994</v>
      </c>
      <c r="J45" s="20">
        <f t="shared" si="13"/>
        <v>-3.2492</v>
      </c>
      <c r="K45" s="20">
        <f t="shared" si="13"/>
        <v>3.3263</v>
      </c>
      <c r="L45" s="20">
        <f t="shared" si="13"/>
        <v>5.94929999999999</v>
      </c>
      <c r="M45" s="20">
        <f t="shared" si="13"/>
        <v>7.7311</v>
      </c>
      <c r="N45" s="20">
        <f t="shared" si="13"/>
        <v>9.5626</v>
      </c>
      <c r="O45" s="20">
        <f t="shared" si="13"/>
        <v>-0.579599999999999</v>
      </c>
      <c r="P45" s="20">
        <f t="shared" si="13"/>
        <v>13.704</v>
      </c>
      <c r="Q45" s="20">
        <f t="shared" si="13"/>
        <v>5.819</v>
      </c>
      <c r="R45" s="20">
        <f t="shared" si="13"/>
        <v>5.88630000000001</v>
      </c>
      <c r="S45" s="20">
        <f t="shared" si="13"/>
        <v>4.31740000000001</v>
      </c>
      <c r="T45" s="20">
        <f t="shared" si="13"/>
        <v>3.833</v>
      </c>
      <c r="U45" s="20">
        <f t="shared" si="13"/>
        <v>0.922899999999998</v>
      </c>
      <c r="V45" s="20">
        <f t="shared" si="13"/>
        <v>0.321399999999997</v>
      </c>
      <c r="W45" s="20">
        <f t="shared" si="13"/>
        <v>-0.331900000000005</v>
      </c>
      <c r="X45" s="20">
        <f t="shared" si="13"/>
        <v>-0.733999999999995</v>
      </c>
      <c r="Y45" s="20">
        <f t="shared" si="13"/>
        <v>3.3719</v>
      </c>
      <c r="Z45" s="20">
        <f t="shared" si="13"/>
        <v>-0.547300000000007</v>
      </c>
      <c r="AA45" s="20">
        <f t="shared" si="13"/>
        <v>-0.137299999999996</v>
      </c>
    </row>
    <row r="46" s="1" customFormat="1" ht="20" hidden="1" customHeight="1" spans="1:27">
      <c r="A46" s="15">
        <v>46096</v>
      </c>
      <c r="B46" s="16">
        <v>4303121811816</v>
      </c>
      <c r="C46" s="17" t="s">
        <v>37</v>
      </c>
      <c r="D46" s="19">
        <v>88.45</v>
      </c>
      <c r="E46" s="19">
        <v>93.66</v>
      </c>
      <c r="F46" s="19">
        <v>93.31</v>
      </c>
      <c r="G46" s="19">
        <v>93.58</v>
      </c>
      <c r="H46" s="19">
        <v>92.55</v>
      </c>
      <c r="I46" s="19">
        <v>90.45</v>
      </c>
      <c r="J46" s="19">
        <v>85.62</v>
      </c>
      <c r="K46" s="19">
        <v>79.33</v>
      </c>
      <c r="L46" s="19">
        <v>84.75</v>
      </c>
      <c r="M46" s="19">
        <v>94.54</v>
      </c>
      <c r="N46" s="19">
        <v>82.48</v>
      </c>
      <c r="O46" s="19">
        <v>79.66</v>
      </c>
      <c r="P46" s="19">
        <v>80.2</v>
      </c>
      <c r="Q46" s="19">
        <v>83.46</v>
      </c>
      <c r="R46" s="19">
        <v>83.66</v>
      </c>
      <c r="S46" s="19">
        <v>84.58</v>
      </c>
      <c r="T46" s="19">
        <v>83.48</v>
      </c>
      <c r="U46" s="19">
        <v>84.33</v>
      </c>
      <c r="V46" s="19">
        <v>79.62</v>
      </c>
      <c r="W46" s="19">
        <v>79.33</v>
      </c>
      <c r="X46" s="19">
        <v>84.65</v>
      </c>
      <c r="Y46" s="19">
        <v>83.89</v>
      </c>
      <c r="Z46" s="19">
        <v>80.33</v>
      </c>
      <c r="AA46" s="19">
        <v>78.86</v>
      </c>
    </row>
    <row r="47" s="1" customFormat="1" ht="20" customHeight="1" spans="1:28">
      <c r="A47" s="15"/>
      <c r="B47" s="16"/>
      <c r="C47" s="17" t="s">
        <v>38</v>
      </c>
      <c r="D47" s="19">
        <v>90.1877</v>
      </c>
      <c r="E47" s="19">
        <v>93.5193</v>
      </c>
      <c r="F47" s="19">
        <v>94.4949</v>
      </c>
      <c r="G47" s="19">
        <v>96.1615</v>
      </c>
      <c r="H47" s="19">
        <v>93.6002</v>
      </c>
      <c r="I47" s="19">
        <v>90.8177</v>
      </c>
      <c r="J47" s="19">
        <v>84.7528</v>
      </c>
      <c r="K47" s="19">
        <v>81.0726</v>
      </c>
      <c r="L47" s="19">
        <v>83.3958</v>
      </c>
      <c r="M47" s="19">
        <v>81.1536</v>
      </c>
      <c r="N47" s="19">
        <v>81.8647</v>
      </c>
      <c r="O47" s="19">
        <v>75.7967</v>
      </c>
      <c r="P47" s="19">
        <v>78.3535</v>
      </c>
      <c r="Q47" s="19">
        <v>81.6182</v>
      </c>
      <c r="R47" s="19">
        <v>82.3874</v>
      </c>
      <c r="S47" s="19">
        <v>82.6443</v>
      </c>
      <c r="T47" s="19">
        <v>83.7953</v>
      </c>
      <c r="U47" s="19">
        <v>82.8625</v>
      </c>
      <c r="V47" s="19">
        <v>79.8547</v>
      </c>
      <c r="W47" s="19">
        <v>80.0404</v>
      </c>
      <c r="X47" s="19">
        <v>81.569</v>
      </c>
      <c r="Y47" s="19">
        <v>84.4941</v>
      </c>
      <c r="Z47" s="19">
        <v>82.4683</v>
      </c>
      <c r="AA47" s="19">
        <v>78.0208</v>
      </c>
      <c r="AB47" s="21">
        <f>MAX(D47:AA47)</f>
        <v>96.1615</v>
      </c>
    </row>
    <row r="48" s="1" customFormat="1" ht="20" hidden="1" customHeight="1" spans="1:27">
      <c r="A48" s="15"/>
      <c r="B48" s="16"/>
      <c r="C48" s="17" t="s">
        <v>39</v>
      </c>
      <c r="D48" s="19">
        <f t="shared" ref="D48:AA48" si="14">D46-D47</f>
        <v>-1.7377</v>
      </c>
      <c r="E48" s="19">
        <f t="shared" si="14"/>
        <v>0.140699999999995</v>
      </c>
      <c r="F48" s="19">
        <f t="shared" si="14"/>
        <v>-1.1849</v>
      </c>
      <c r="G48" s="19">
        <f t="shared" si="14"/>
        <v>-2.58150000000001</v>
      </c>
      <c r="H48" s="19">
        <f t="shared" si="14"/>
        <v>-1.0502</v>
      </c>
      <c r="I48" s="19">
        <f t="shared" si="14"/>
        <v>-0.367699999999999</v>
      </c>
      <c r="J48" s="19">
        <f t="shared" si="14"/>
        <v>0.867200000000011</v>
      </c>
      <c r="K48" s="19">
        <f t="shared" si="14"/>
        <v>-1.7426</v>
      </c>
      <c r="L48" s="19">
        <f t="shared" si="14"/>
        <v>1.35420000000001</v>
      </c>
      <c r="M48" s="19">
        <f t="shared" si="14"/>
        <v>13.3864</v>
      </c>
      <c r="N48" s="19">
        <f t="shared" si="14"/>
        <v>0.615300000000005</v>
      </c>
      <c r="O48" s="19">
        <f t="shared" si="14"/>
        <v>3.8633</v>
      </c>
      <c r="P48" s="19">
        <f t="shared" si="14"/>
        <v>1.84650000000001</v>
      </c>
      <c r="Q48" s="19">
        <f t="shared" si="14"/>
        <v>1.84179999999999</v>
      </c>
      <c r="R48" s="19">
        <f t="shared" si="14"/>
        <v>1.2726</v>
      </c>
      <c r="S48" s="19">
        <f t="shared" si="14"/>
        <v>1.9357</v>
      </c>
      <c r="T48" s="19">
        <f t="shared" si="14"/>
        <v>-0.315299999999993</v>
      </c>
      <c r="U48" s="19">
        <f t="shared" si="14"/>
        <v>1.4675</v>
      </c>
      <c r="V48" s="19">
        <f t="shared" si="14"/>
        <v>-0.234699999999989</v>
      </c>
      <c r="W48" s="19">
        <f t="shared" si="14"/>
        <v>-0.710400000000007</v>
      </c>
      <c r="X48" s="19">
        <f t="shared" si="14"/>
        <v>3.081</v>
      </c>
      <c r="Y48" s="19">
        <f t="shared" si="14"/>
        <v>-0.604100000000003</v>
      </c>
      <c r="Z48" s="19">
        <f t="shared" si="14"/>
        <v>-2.1383</v>
      </c>
      <c r="AA48" s="19">
        <f t="shared" si="14"/>
        <v>0.839200000000005</v>
      </c>
    </row>
    <row r="49" s="1" customFormat="1" ht="20" hidden="1" customHeight="1" spans="1:27">
      <c r="A49" s="15">
        <v>46097</v>
      </c>
      <c r="B49" s="16">
        <v>4303121811816</v>
      </c>
      <c r="C49" s="17" t="s">
        <v>37</v>
      </c>
      <c r="D49" s="20">
        <v>78.79</v>
      </c>
      <c r="E49" s="20">
        <v>83.22</v>
      </c>
      <c r="F49" s="20">
        <v>82.18</v>
      </c>
      <c r="G49" s="20">
        <v>82.33</v>
      </c>
      <c r="H49" s="20">
        <v>84.68</v>
      </c>
      <c r="I49" s="20">
        <v>83.58</v>
      </c>
      <c r="J49" s="20">
        <v>83.76</v>
      </c>
      <c r="K49" s="20">
        <v>94.55</v>
      </c>
      <c r="L49" s="20">
        <v>98.62</v>
      </c>
      <c r="M49" s="20">
        <v>98.33</v>
      </c>
      <c r="N49" s="20">
        <v>95.42</v>
      </c>
      <c r="O49" s="20">
        <v>93.32</v>
      </c>
      <c r="P49" s="20">
        <v>94.28</v>
      </c>
      <c r="Q49" s="20">
        <v>95.62</v>
      </c>
      <c r="R49" s="20">
        <v>98.54</v>
      </c>
      <c r="S49" s="20">
        <v>98.58</v>
      </c>
      <c r="T49" s="20">
        <v>99.66</v>
      </c>
      <c r="U49" s="20">
        <v>98.62</v>
      </c>
      <c r="V49" s="20">
        <v>94.54</v>
      </c>
      <c r="W49" s="20">
        <v>90.33</v>
      </c>
      <c r="X49" s="20">
        <v>94.62</v>
      </c>
      <c r="Y49" s="20">
        <v>98.71</v>
      </c>
      <c r="Z49" s="20">
        <v>94.52</v>
      </c>
      <c r="AA49" s="20">
        <v>89.62</v>
      </c>
    </row>
    <row r="50" s="1" customFormat="1" ht="20" customHeight="1" spans="1:28">
      <c r="A50" s="15"/>
      <c r="B50" s="16"/>
      <c r="C50" s="17" t="s">
        <v>38</v>
      </c>
      <c r="D50" s="20">
        <v>78.6615</v>
      </c>
      <c r="E50" s="20">
        <v>83.38</v>
      </c>
      <c r="F50" s="20">
        <v>82.8854</v>
      </c>
      <c r="G50" s="20">
        <v>82.4348</v>
      </c>
      <c r="H50" s="20">
        <v>84.084</v>
      </c>
      <c r="I50" s="20">
        <v>83.7742</v>
      </c>
      <c r="J50" s="20">
        <v>84.0013</v>
      </c>
      <c r="K50" s="20">
        <v>87.7973</v>
      </c>
      <c r="L50" s="20">
        <v>98.3794</v>
      </c>
      <c r="M50" s="20">
        <v>101.142</v>
      </c>
      <c r="N50" s="20">
        <v>98.7504</v>
      </c>
      <c r="O50" s="20">
        <v>96.4427</v>
      </c>
      <c r="P50" s="20">
        <v>92.8735</v>
      </c>
      <c r="Q50" s="20">
        <v>100.0841</v>
      </c>
      <c r="R50" s="20">
        <v>100.6291</v>
      </c>
      <c r="S50" s="20">
        <v>102.4461</v>
      </c>
      <c r="T50" s="20">
        <v>100.9184</v>
      </c>
      <c r="U50" s="20">
        <v>100.2989</v>
      </c>
      <c r="V50" s="20">
        <v>97.1062</v>
      </c>
      <c r="W50" s="20">
        <v>92.5707</v>
      </c>
      <c r="X50" s="20">
        <v>97.2294</v>
      </c>
      <c r="Y50" s="20">
        <v>96.7348</v>
      </c>
      <c r="Z50" s="20">
        <v>96.4551</v>
      </c>
      <c r="AA50" s="20">
        <v>90.5995</v>
      </c>
      <c r="AB50" s="21">
        <f>MAX(D50:AA50)</f>
        <v>102.4461</v>
      </c>
    </row>
    <row r="51" s="1" customFormat="1" ht="20" hidden="1" customHeight="1" spans="1:27">
      <c r="A51" s="15"/>
      <c r="B51" s="16"/>
      <c r="C51" s="17" t="s">
        <v>39</v>
      </c>
      <c r="D51" s="20">
        <f t="shared" ref="D51:AA51" si="15">D49-D50</f>
        <v>0.128500000000003</v>
      </c>
      <c r="E51" s="20">
        <f t="shared" si="15"/>
        <v>-0.159999999999997</v>
      </c>
      <c r="F51" s="20">
        <f t="shared" si="15"/>
        <v>-0.705399999999997</v>
      </c>
      <c r="G51" s="20">
        <f t="shared" si="15"/>
        <v>-0.104799999999997</v>
      </c>
      <c r="H51" s="20">
        <f t="shared" si="15"/>
        <v>0.596000000000004</v>
      </c>
      <c r="I51" s="20">
        <f t="shared" si="15"/>
        <v>-0.194199999999995</v>
      </c>
      <c r="J51" s="20">
        <f t="shared" si="15"/>
        <v>-0.241299999999995</v>
      </c>
      <c r="K51" s="20">
        <f t="shared" si="15"/>
        <v>6.75269999999999</v>
      </c>
      <c r="L51" s="20">
        <f t="shared" si="15"/>
        <v>0.240600000000001</v>
      </c>
      <c r="M51" s="20">
        <f t="shared" si="15"/>
        <v>-2.812</v>
      </c>
      <c r="N51" s="20">
        <f t="shared" si="15"/>
        <v>-3.3304</v>
      </c>
      <c r="O51" s="20">
        <f t="shared" si="15"/>
        <v>-3.12270000000001</v>
      </c>
      <c r="P51" s="20">
        <f t="shared" si="15"/>
        <v>1.40649999999999</v>
      </c>
      <c r="Q51" s="20">
        <f t="shared" si="15"/>
        <v>-4.4641</v>
      </c>
      <c r="R51" s="20">
        <f t="shared" si="15"/>
        <v>-2.08909999999999</v>
      </c>
      <c r="S51" s="20">
        <f t="shared" si="15"/>
        <v>-3.8661</v>
      </c>
      <c r="T51" s="20">
        <f t="shared" si="15"/>
        <v>-1.25840000000001</v>
      </c>
      <c r="U51" s="20">
        <f t="shared" si="15"/>
        <v>-1.6789</v>
      </c>
      <c r="V51" s="20">
        <f t="shared" si="15"/>
        <v>-2.56619999999999</v>
      </c>
      <c r="W51" s="20">
        <f t="shared" si="15"/>
        <v>-2.2407</v>
      </c>
      <c r="X51" s="20">
        <f t="shared" si="15"/>
        <v>-2.60939999999999</v>
      </c>
      <c r="Y51" s="20">
        <f t="shared" si="15"/>
        <v>1.97519999999999</v>
      </c>
      <c r="Z51" s="20">
        <f t="shared" si="15"/>
        <v>-1.93510000000001</v>
      </c>
      <c r="AA51" s="20">
        <f t="shared" si="15"/>
        <v>-0.979500000000002</v>
      </c>
    </row>
    <row r="52" s="1" customFormat="1" ht="20" hidden="1" customHeight="1" spans="1:27">
      <c r="A52" s="15">
        <v>46098</v>
      </c>
      <c r="B52" s="16">
        <v>4303121811816</v>
      </c>
      <c r="C52" s="17" t="s">
        <v>37</v>
      </c>
      <c r="D52" s="19">
        <v>89.45</v>
      </c>
      <c r="E52" s="19">
        <v>93.68</v>
      </c>
      <c r="F52" s="19">
        <v>95.22</v>
      </c>
      <c r="G52" s="19">
        <v>95.54</v>
      </c>
      <c r="H52" s="19">
        <v>94.33</v>
      </c>
      <c r="I52" s="19">
        <v>95.28</v>
      </c>
      <c r="J52" s="19">
        <v>90.68</v>
      </c>
      <c r="K52" s="19">
        <v>94.33</v>
      </c>
      <c r="L52" s="19">
        <v>98.58</v>
      </c>
      <c r="M52" s="19">
        <v>98.41</v>
      </c>
      <c r="N52" s="19">
        <v>95.42</v>
      </c>
      <c r="O52" s="19">
        <v>93.25</v>
      </c>
      <c r="P52" s="19">
        <v>94.22</v>
      </c>
      <c r="Q52" s="19">
        <v>95.51</v>
      </c>
      <c r="R52" s="19">
        <v>98.54</v>
      </c>
      <c r="S52" s="19">
        <v>98.67</v>
      </c>
      <c r="T52" s="19">
        <v>99.88</v>
      </c>
      <c r="U52" s="19">
        <v>98.62</v>
      </c>
      <c r="V52" s="19">
        <v>94.48</v>
      </c>
      <c r="W52" s="19">
        <v>90.33</v>
      </c>
      <c r="X52" s="19">
        <v>94.55</v>
      </c>
      <c r="Y52" s="19">
        <v>98.58</v>
      </c>
      <c r="Z52" s="19">
        <v>94.32</v>
      </c>
      <c r="AA52" s="19">
        <v>89.58</v>
      </c>
    </row>
    <row r="53" s="1" customFormat="1" ht="20" customHeight="1" spans="1:28">
      <c r="A53" s="15"/>
      <c r="B53" s="16"/>
      <c r="C53" s="17" t="s">
        <v>38</v>
      </c>
      <c r="D53" s="19">
        <v>91.05</v>
      </c>
      <c r="E53" s="19">
        <v>95.92</v>
      </c>
      <c r="F53" s="19">
        <v>97.6148</v>
      </c>
      <c r="G53" s="19">
        <v>96.4938</v>
      </c>
      <c r="H53" s="19">
        <v>96.5935</v>
      </c>
      <c r="I53" s="19">
        <v>96.4691</v>
      </c>
      <c r="J53" s="19">
        <v>93.8942</v>
      </c>
      <c r="K53" s="19">
        <v>94.2198</v>
      </c>
      <c r="L53" s="19">
        <v>101.3234</v>
      </c>
      <c r="M53" s="19">
        <v>100.7652</v>
      </c>
      <c r="N53" s="19">
        <v>102.7805</v>
      </c>
      <c r="O53" s="19">
        <v>95.9129</v>
      </c>
      <c r="P53" s="19">
        <v>95.4554</v>
      </c>
      <c r="Q53" s="19">
        <v>100.892</v>
      </c>
      <c r="R53" s="19">
        <v>101.3953</v>
      </c>
      <c r="S53" s="19">
        <v>103.2609</v>
      </c>
      <c r="T53" s="19">
        <v>102.6608</v>
      </c>
      <c r="U53" s="19">
        <v>100.6544</v>
      </c>
      <c r="V53" s="19">
        <v>97.2382</v>
      </c>
      <c r="W53" s="19">
        <v>93.6127</v>
      </c>
      <c r="X53" s="19">
        <v>98.4368</v>
      </c>
      <c r="Y53" s="19">
        <v>96.9514</v>
      </c>
      <c r="Z53" s="19">
        <v>94.8346</v>
      </c>
      <c r="AA53" s="19">
        <v>92.1026</v>
      </c>
      <c r="AB53" s="21">
        <f>MAX(D53:AA53)</f>
        <v>103.2609</v>
      </c>
    </row>
    <row r="54" s="1" customFormat="1" ht="20" hidden="1" customHeight="1" spans="1:27">
      <c r="A54" s="15"/>
      <c r="B54" s="16"/>
      <c r="C54" s="17" t="s">
        <v>39</v>
      </c>
      <c r="D54" s="19">
        <f t="shared" ref="D54:AA54" si="16">D52-D53</f>
        <v>-1.59999999999999</v>
      </c>
      <c r="E54" s="19">
        <f t="shared" si="16"/>
        <v>-2.23999999999999</v>
      </c>
      <c r="F54" s="19">
        <f t="shared" si="16"/>
        <v>-2.3948</v>
      </c>
      <c r="G54" s="19">
        <f t="shared" si="16"/>
        <v>-0.953799999999987</v>
      </c>
      <c r="H54" s="19">
        <f t="shared" si="16"/>
        <v>-2.26350000000001</v>
      </c>
      <c r="I54" s="19">
        <f t="shared" si="16"/>
        <v>-1.1891</v>
      </c>
      <c r="J54" s="19">
        <f t="shared" si="16"/>
        <v>-3.21419999999999</v>
      </c>
      <c r="K54" s="19">
        <f t="shared" si="16"/>
        <v>0.110199999999992</v>
      </c>
      <c r="L54" s="19">
        <f t="shared" si="16"/>
        <v>-2.74340000000001</v>
      </c>
      <c r="M54" s="19">
        <f t="shared" si="16"/>
        <v>-2.3552</v>
      </c>
      <c r="N54" s="19">
        <f t="shared" si="16"/>
        <v>-7.3605</v>
      </c>
      <c r="O54" s="19">
        <f t="shared" si="16"/>
        <v>-2.66289999999999</v>
      </c>
      <c r="P54" s="19">
        <f t="shared" si="16"/>
        <v>-1.2354</v>
      </c>
      <c r="Q54" s="19">
        <f t="shared" si="16"/>
        <v>-5.38199999999999</v>
      </c>
      <c r="R54" s="19">
        <f t="shared" si="16"/>
        <v>-2.8553</v>
      </c>
      <c r="S54" s="19">
        <f t="shared" si="16"/>
        <v>-4.5909</v>
      </c>
      <c r="T54" s="19">
        <f t="shared" si="16"/>
        <v>-2.7808</v>
      </c>
      <c r="U54" s="19">
        <f t="shared" si="16"/>
        <v>-2.03439999999999</v>
      </c>
      <c r="V54" s="19">
        <f t="shared" si="16"/>
        <v>-2.7582</v>
      </c>
      <c r="W54" s="19">
        <f t="shared" si="16"/>
        <v>-3.28270000000001</v>
      </c>
      <c r="X54" s="19">
        <f t="shared" si="16"/>
        <v>-3.88680000000001</v>
      </c>
      <c r="Y54" s="19">
        <f t="shared" si="16"/>
        <v>1.62859999999999</v>
      </c>
      <c r="Z54" s="19">
        <f t="shared" si="16"/>
        <v>-0.514600000000002</v>
      </c>
      <c r="AA54" s="19">
        <f t="shared" si="16"/>
        <v>-2.5226</v>
      </c>
    </row>
    <row r="55" s="1" customFormat="1" ht="20" hidden="1" customHeight="1" spans="1:27">
      <c r="A55" s="15">
        <v>46099</v>
      </c>
      <c r="B55" s="16">
        <v>4303121811816</v>
      </c>
      <c r="C55" s="17" t="s">
        <v>37</v>
      </c>
      <c r="D55" s="20">
        <v>89.66</v>
      </c>
      <c r="E55" s="20">
        <v>94.55</v>
      </c>
      <c r="F55" s="20">
        <v>96.25</v>
      </c>
      <c r="G55" s="20">
        <v>96.62</v>
      </c>
      <c r="H55" s="20">
        <v>94.33</v>
      </c>
      <c r="I55" s="20">
        <v>94.66</v>
      </c>
      <c r="J55" s="20">
        <v>91.32</v>
      </c>
      <c r="K55" s="20">
        <v>93.55</v>
      </c>
      <c r="L55" s="20">
        <v>99.62</v>
      </c>
      <c r="M55" s="20">
        <v>99.58</v>
      </c>
      <c r="N55" s="20">
        <v>98.84</v>
      </c>
      <c r="O55" s="20">
        <v>94.33</v>
      </c>
      <c r="P55" s="20">
        <v>84.72</v>
      </c>
      <c r="Q55" s="20">
        <v>90.11</v>
      </c>
      <c r="R55" s="20">
        <v>92.74</v>
      </c>
      <c r="S55" s="20">
        <v>94.66</v>
      </c>
      <c r="T55" s="20">
        <v>97.78</v>
      </c>
      <c r="U55" s="20">
        <v>98.66</v>
      </c>
      <c r="V55" s="20">
        <v>96.32</v>
      </c>
      <c r="W55" s="20">
        <v>92.11</v>
      </c>
      <c r="X55" s="20">
        <v>96.64</v>
      </c>
      <c r="Y55" s="20">
        <v>97.11</v>
      </c>
      <c r="Z55" s="20">
        <v>95.78</v>
      </c>
      <c r="AA55" s="20">
        <v>91.21</v>
      </c>
    </row>
    <row r="56" s="1" customFormat="1" ht="20" customHeight="1" spans="1:28">
      <c r="A56" s="15"/>
      <c r="B56" s="16"/>
      <c r="C56" s="17" t="s">
        <v>38</v>
      </c>
      <c r="D56" s="20">
        <v>91.3863</v>
      </c>
      <c r="E56" s="20">
        <v>95.4201</v>
      </c>
      <c r="F56" s="20">
        <v>95.5222</v>
      </c>
      <c r="G56" s="20">
        <v>96.624</v>
      </c>
      <c r="H56" s="20">
        <v>95.8222</v>
      </c>
      <c r="I56" s="20">
        <v>95.6402</v>
      </c>
      <c r="J56" s="20">
        <v>93.5564</v>
      </c>
      <c r="K56" s="20">
        <v>91.5582</v>
      </c>
      <c r="L56" s="20">
        <v>102.2001</v>
      </c>
      <c r="M56" s="20">
        <v>101.7138</v>
      </c>
      <c r="N56" s="20">
        <v>98.7017</v>
      </c>
      <c r="O56" s="20">
        <v>93.9381</v>
      </c>
      <c r="P56" s="20">
        <v>93.2083</v>
      </c>
      <c r="Q56" s="20">
        <v>100.799</v>
      </c>
      <c r="R56" s="20">
        <v>101.5467</v>
      </c>
      <c r="S56" s="20">
        <v>98.6163</v>
      </c>
      <c r="T56" s="20">
        <v>101.4569</v>
      </c>
      <c r="U56" s="20">
        <v>98.9138</v>
      </c>
      <c r="V56" s="20">
        <v>97.2985</v>
      </c>
      <c r="W56" s="20">
        <v>95.7053</v>
      </c>
      <c r="X56" s="20">
        <v>98.9578</v>
      </c>
      <c r="Y56" s="20">
        <v>97.7751</v>
      </c>
      <c r="Z56" s="20">
        <v>96.2808</v>
      </c>
      <c r="AA56" s="20">
        <v>92.5637</v>
      </c>
      <c r="AB56" s="21">
        <f>MAX(D56:AA56)</f>
        <v>102.2001</v>
      </c>
    </row>
    <row r="57" s="1" customFormat="1" ht="20" hidden="1" customHeight="1" spans="1:27">
      <c r="A57" s="15"/>
      <c r="B57" s="16"/>
      <c r="C57" s="17" t="s">
        <v>39</v>
      </c>
      <c r="D57" s="20">
        <f t="shared" ref="D57:AA57" si="17">D55-D56</f>
        <v>-1.72630000000001</v>
      </c>
      <c r="E57" s="20">
        <f t="shared" si="17"/>
        <v>-0.870100000000008</v>
      </c>
      <c r="F57" s="20">
        <f t="shared" si="17"/>
        <v>0.727800000000002</v>
      </c>
      <c r="G57" s="20">
        <f t="shared" si="17"/>
        <v>-0.00399999999999068</v>
      </c>
      <c r="H57" s="20">
        <f t="shared" si="17"/>
        <v>-1.4922</v>
      </c>
      <c r="I57" s="20">
        <f t="shared" si="17"/>
        <v>-0.980199999999996</v>
      </c>
      <c r="J57" s="20">
        <f t="shared" si="17"/>
        <v>-2.2364</v>
      </c>
      <c r="K57" s="20">
        <f t="shared" si="17"/>
        <v>1.9918</v>
      </c>
      <c r="L57" s="20">
        <f t="shared" si="17"/>
        <v>-2.5801</v>
      </c>
      <c r="M57" s="20">
        <f t="shared" si="17"/>
        <v>-2.13380000000001</v>
      </c>
      <c r="N57" s="20">
        <f t="shared" si="17"/>
        <v>0.138300000000001</v>
      </c>
      <c r="O57" s="20">
        <f t="shared" si="17"/>
        <v>0.391899999999993</v>
      </c>
      <c r="P57" s="20">
        <f t="shared" si="17"/>
        <v>-8.4883</v>
      </c>
      <c r="Q57" s="20">
        <f t="shared" si="17"/>
        <v>-10.689</v>
      </c>
      <c r="R57" s="20">
        <f t="shared" si="17"/>
        <v>-8.80670000000001</v>
      </c>
      <c r="S57" s="20">
        <f t="shared" si="17"/>
        <v>-3.9563</v>
      </c>
      <c r="T57" s="20">
        <f t="shared" si="17"/>
        <v>-3.6769</v>
      </c>
      <c r="U57" s="20">
        <f t="shared" si="17"/>
        <v>-0.253799999999998</v>
      </c>
      <c r="V57" s="20">
        <f t="shared" si="17"/>
        <v>-0.978500000000011</v>
      </c>
      <c r="W57" s="20">
        <f t="shared" si="17"/>
        <v>-3.59529999999999</v>
      </c>
      <c r="X57" s="20">
        <f t="shared" si="17"/>
        <v>-2.31780000000001</v>
      </c>
      <c r="Y57" s="20">
        <f t="shared" si="17"/>
        <v>-0.665099999999995</v>
      </c>
      <c r="Z57" s="20">
        <f t="shared" si="17"/>
        <v>-0.500799999999998</v>
      </c>
      <c r="AA57" s="20">
        <f t="shared" si="17"/>
        <v>-1.3537</v>
      </c>
    </row>
    <row r="58" s="1" customFormat="1" ht="20" hidden="1" customHeight="1" spans="1:27">
      <c r="A58" s="15">
        <v>46100</v>
      </c>
      <c r="B58" s="16">
        <v>4303121811816</v>
      </c>
      <c r="C58" s="17" t="s">
        <v>37</v>
      </c>
      <c r="D58" s="19">
        <v>89.55</v>
      </c>
      <c r="E58" s="19">
        <v>94.62</v>
      </c>
      <c r="F58" s="19">
        <v>94.88</v>
      </c>
      <c r="G58" s="19">
        <v>95.12</v>
      </c>
      <c r="H58" s="19">
        <v>93.88</v>
      </c>
      <c r="I58" s="19">
        <v>93.66</v>
      </c>
      <c r="J58" s="19">
        <v>91.55</v>
      </c>
      <c r="K58" s="19">
        <v>90.58</v>
      </c>
      <c r="L58" s="19">
        <v>98.87</v>
      </c>
      <c r="M58" s="19">
        <v>98.89</v>
      </c>
      <c r="N58" s="19">
        <v>98.58</v>
      </c>
      <c r="O58" s="19">
        <v>92.55</v>
      </c>
      <c r="P58" s="19">
        <v>85.62</v>
      </c>
      <c r="Q58" s="19">
        <v>90.54</v>
      </c>
      <c r="R58" s="19">
        <v>92.66</v>
      </c>
      <c r="S58" s="19">
        <v>94.66</v>
      </c>
      <c r="T58" s="19">
        <v>96.88</v>
      </c>
      <c r="U58" s="19">
        <v>98.89</v>
      </c>
      <c r="V58" s="19">
        <v>96.54</v>
      </c>
      <c r="W58" s="19">
        <v>94.22</v>
      </c>
      <c r="X58" s="19">
        <v>95.85</v>
      </c>
      <c r="Y58" s="19">
        <v>95.74</v>
      </c>
      <c r="Z58" s="19">
        <v>95.66</v>
      </c>
      <c r="AA58" s="19">
        <v>91.33</v>
      </c>
    </row>
    <row r="59" s="1" customFormat="1" ht="20" customHeight="1" spans="1:28">
      <c r="A59" s="15"/>
      <c r="B59" s="16"/>
      <c r="C59" s="17" t="s">
        <v>38</v>
      </c>
      <c r="D59" s="19">
        <v>91.4232</v>
      </c>
      <c r="E59" s="19">
        <v>94.0245</v>
      </c>
      <c r="F59" s="19">
        <v>96.5237</v>
      </c>
      <c r="G59" s="19">
        <v>96.1365</v>
      </c>
      <c r="H59" s="19">
        <v>95.5907</v>
      </c>
      <c r="I59" s="19">
        <v>94.4751</v>
      </c>
      <c r="J59" s="19">
        <v>93.4665</v>
      </c>
      <c r="K59" s="19">
        <v>95.0136</v>
      </c>
      <c r="L59" s="19">
        <v>97.2224</v>
      </c>
      <c r="M59" s="19">
        <v>99.8131</v>
      </c>
      <c r="N59" s="19">
        <v>99.785</v>
      </c>
      <c r="O59" s="19">
        <v>94.2374</v>
      </c>
      <c r="P59" s="19">
        <v>92.2223</v>
      </c>
      <c r="Q59" s="19">
        <v>100.6949</v>
      </c>
      <c r="R59" s="19">
        <v>99.2267</v>
      </c>
      <c r="S59" s="19">
        <v>101.2035</v>
      </c>
      <c r="T59" s="19">
        <v>100.5438</v>
      </c>
      <c r="U59" s="19">
        <v>99.9399</v>
      </c>
      <c r="V59" s="19">
        <v>96.4445</v>
      </c>
      <c r="W59" s="19">
        <v>92.2451</v>
      </c>
      <c r="X59" s="19">
        <v>98.5529</v>
      </c>
      <c r="Y59" s="19">
        <v>98.6674</v>
      </c>
      <c r="Z59" s="19">
        <v>97.3907</v>
      </c>
      <c r="AA59" s="19">
        <v>92.9473</v>
      </c>
      <c r="AB59" s="21">
        <f>MAX(D59:AA59)</f>
        <v>101.2035</v>
      </c>
    </row>
    <row r="60" s="1" customFormat="1" ht="20" hidden="1" customHeight="1" spans="1:27">
      <c r="A60" s="15"/>
      <c r="B60" s="16"/>
      <c r="C60" s="17" t="s">
        <v>39</v>
      </c>
      <c r="D60" s="19">
        <f t="shared" ref="D60:AA60" si="18">D58-D59</f>
        <v>-1.8732</v>
      </c>
      <c r="E60" s="19">
        <f t="shared" si="18"/>
        <v>0.595500000000001</v>
      </c>
      <c r="F60" s="19">
        <f t="shared" si="18"/>
        <v>-1.64370000000001</v>
      </c>
      <c r="G60" s="19">
        <f t="shared" si="18"/>
        <v>-1.01649999999999</v>
      </c>
      <c r="H60" s="19">
        <f t="shared" si="18"/>
        <v>-1.7107</v>
      </c>
      <c r="I60" s="19">
        <f t="shared" si="18"/>
        <v>-0.815100000000001</v>
      </c>
      <c r="J60" s="19">
        <f t="shared" si="18"/>
        <v>-1.9165</v>
      </c>
      <c r="K60" s="19">
        <f t="shared" si="18"/>
        <v>-4.4336</v>
      </c>
      <c r="L60" s="19">
        <f t="shared" si="18"/>
        <v>1.64760000000001</v>
      </c>
      <c r="M60" s="19">
        <f t="shared" si="18"/>
        <v>-0.923100000000005</v>
      </c>
      <c r="N60" s="19">
        <f t="shared" si="18"/>
        <v>-1.205</v>
      </c>
      <c r="O60" s="19">
        <f t="shared" si="18"/>
        <v>-1.6874</v>
      </c>
      <c r="P60" s="19">
        <f t="shared" si="18"/>
        <v>-6.6023</v>
      </c>
      <c r="Q60" s="19">
        <f t="shared" si="18"/>
        <v>-10.1549</v>
      </c>
      <c r="R60" s="19">
        <f t="shared" si="18"/>
        <v>-6.5667</v>
      </c>
      <c r="S60" s="19">
        <f t="shared" si="18"/>
        <v>-6.54350000000001</v>
      </c>
      <c r="T60" s="19">
        <f t="shared" si="18"/>
        <v>-3.66380000000001</v>
      </c>
      <c r="U60" s="19">
        <f t="shared" si="18"/>
        <v>-1.04989999999999</v>
      </c>
      <c r="V60" s="19">
        <f t="shared" si="18"/>
        <v>0.0955000000000013</v>
      </c>
      <c r="W60" s="19">
        <f t="shared" si="18"/>
        <v>1.97490000000001</v>
      </c>
      <c r="X60" s="19">
        <f t="shared" si="18"/>
        <v>-2.7029</v>
      </c>
      <c r="Y60" s="19">
        <f t="shared" si="18"/>
        <v>-2.92740000000001</v>
      </c>
      <c r="Z60" s="19">
        <f t="shared" si="18"/>
        <v>-1.7307</v>
      </c>
      <c r="AA60" s="19">
        <f t="shared" si="18"/>
        <v>-1.6173</v>
      </c>
    </row>
    <row r="61" s="1" customFormat="1" ht="20" hidden="1" customHeight="1" spans="1:27">
      <c r="A61" s="15">
        <v>46101</v>
      </c>
      <c r="B61" s="16">
        <v>4303121811816</v>
      </c>
      <c r="C61" s="17" t="s">
        <v>37</v>
      </c>
      <c r="D61" s="20">
        <v>89.41</v>
      </c>
      <c r="E61" s="20">
        <v>94.58</v>
      </c>
      <c r="F61" s="20">
        <v>94.78</v>
      </c>
      <c r="G61" s="20">
        <v>95.22</v>
      </c>
      <c r="H61" s="20">
        <v>93.72</v>
      </c>
      <c r="I61" s="20">
        <v>93.58</v>
      </c>
      <c r="J61" s="20">
        <v>91.68</v>
      </c>
      <c r="K61" s="20">
        <v>90.66</v>
      </c>
      <c r="L61" s="20">
        <v>98.78</v>
      </c>
      <c r="M61" s="20">
        <v>98.77</v>
      </c>
      <c r="N61" s="20">
        <v>98.66</v>
      </c>
      <c r="O61" s="20">
        <v>92.62</v>
      </c>
      <c r="P61" s="20">
        <v>85.58</v>
      </c>
      <c r="Q61" s="20">
        <v>90.66</v>
      </c>
      <c r="R61" s="20">
        <v>92.72</v>
      </c>
      <c r="S61" s="20">
        <v>94.58</v>
      </c>
      <c r="T61" s="20">
        <v>96.78</v>
      </c>
      <c r="U61" s="20">
        <v>98.88</v>
      </c>
      <c r="V61" s="20">
        <v>96.48</v>
      </c>
      <c r="W61" s="20">
        <v>94.33</v>
      </c>
      <c r="X61" s="20">
        <v>95.74</v>
      </c>
      <c r="Y61" s="20">
        <v>95.66</v>
      </c>
      <c r="Z61" s="20">
        <v>95.58</v>
      </c>
      <c r="AA61" s="20">
        <v>91.28</v>
      </c>
    </row>
    <row r="62" s="1" customFormat="1" ht="20" customHeight="1" spans="1:28">
      <c r="A62" s="15"/>
      <c r="B62" s="16"/>
      <c r="C62" s="17" t="s">
        <v>38</v>
      </c>
      <c r="D62" s="20">
        <v>90.9656</v>
      </c>
      <c r="E62" s="20">
        <v>95.7228</v>
      </c>
      <c r="F62" s="20">
        <v>95.5042</v>
      </c>
      <c r="G62" s="20">
        <v>95.8531</v>
      </c>
      <c r="H62" s="20">
        <v>95.7333</v>
      </c>
      <c r="I62" s="20">
        <v>95.5292</v>
      </c>
      <c r="J62" s="20">
        <v>94.6212</v>
      </c>
      <c r="K62" s="20">
        <v>94.2628</v>
      </c>
      <c r="L62" s="20">
        <v>101.8477</v>
      </c>
      <c r="M62" s="20">
        <v>100.8424</v>
      </c>
      <c r="N62" s="20">
        <v>100.0208</v>
      </c>
      <c r="O62" s="20">
        <v>95.7985</v>
      </c>
      <c r="P62" s="20">
        <v>93.6091</v>
      </c>
      <c r="Q62" s="20">
        <v>99.5703</v>
      </c>
      <c r="R62" s="20">
        <v>100.337</v>
      </c>
      <c r="S62" s="20">
        <v>102.0272</v>
      </c>
      <c r="T62" s="20">
        <v>99.1073</v>
      </c>
      <c r="U62" s="20">
        <v>98.7911</v>
      </c>
      <c r="V62" s="20">
        <v>97.6518</v>
      </c>
      <c r="W62" s="20">
        <v>92.2662</v>
      </c>
      <c r="X62" s="20">
        <v>97.7768</v>
      </c>
      <c r="Y62" s="20">
        <v>95.6384</v>
      </c>
      <c r="Z62" s="20">
        <v>94.8288</v>
      </c>
      <c r="AA62" s="20">
        <v>91.0255</v>
      </c>
      <c r="AB62" s="21">
        <f>MAX(D62:AA62)</f>
        <v>102.0272</v>
      </c>
    </row>
    <row r="63" s="1" customFormat="1" ht="20" hidden="1" customHeight="1" spans="1:27">
      <c r="A63" s="15"/>
      <c r="B63" s="16"/>
      <c r="C63" s="17" t="s">
        <v>39</v>
      </c>
      <c r="D63" s="20">
        <f t="shared" ref="D63:AA63" si="19">D61-D62</f>
        <v>-1.5556</v>
      </c>
      <c r="E63" s="20">
        <f t="shared" si="19"/>
        <v>-1.14280000000001</v>
      </c>
      <c r="F63" s="20">
        <f t="shared" si="19"/>
        <v>-0.724199999999996</v>
      </c>
      <c r="G63" s="20">
        <f t="shared" si="19"/>
        <v>-0.633099999999999</v>
      </c>
      <c r="H63" s="20">
        <f t="shared" si="19"/>
        <v>-2.0133</v>
      </c>
      <c r="I63" s="20">
        <f t="shared" si="19"/>
        <v>-1.9492</v>
      </c>
      <c r="J63" s="20">
        <f t="shared" si="19"/>
        <v>-2.94119999999999</v>
      </c>
      <c r="K63" s="20">
        <f t="shared" si="19"/>
        <v>-3.6028</v>
      </c>
      <c r="L63" s="20">
        <f t="shared" si="19"/>
        <v>-3.0677</v>
      </c>
      <c r="M63" s="20">
        <f t="shared" si="19"/>
        <v>-2.0724</v>
      </c>
      <c r="N63" s="20">
        <f t="shared" si="19"/>
        <v>-1.3608</v>
      </c>
      <c r="O63" s="20">
        <f t="shared" si="19"/>
        <v>-3.1785</v>
      </c>
      <c r="P63" s="20">
        <f t="shared" si="19"/>
        <v>-8.0291</v>
      </c>
      <c r="Q63" s="20">
        <f t="shared" si="19"/>
        <v>-8.91030000000001</v>
      </c>
      <c r="R63" s="20">
        <f t="shared" si="19"/>
        <v>-7.617</v>
      </c>
      <c r="S63" s="20">
        <f t="shared" si="19"/>
        <v>-7.4472</v>
      </c>
      <c r="T63" s="20">
        <f t="shared" si="19"/>
        <v>-2.32729999999999</v>
      </c>
      <c r="U63" s="20">
        <f t="shared" si="19"/>
        <v>0.0888999999999953</v>
      </c>
      <c r="V63" s="20">
        <f t="shared" si="19"/>
        <v>-1.17179999999999</v>
      </c>
      <c r="W63" s="20">
        <f t="shared" si="19"/>
        <v>2.0638</v>
      </c>
      <c r="X63" s="20">
        <f t="shared" si="19"/>
        <v>-2.0368</v>
      </c>
      <c r="Y63" s="20">
        <f t="shared" si="19"/>
        <v>0.0215999999999923</v>
      </c>
      <c r="Z63" s="20">
        <f t="shared" si="19"/>
        <v>0.751199999999997</v>
      </c>
      <c r="AA63" s="20">
        <f t="shared" si="19"/>
        <v>0.254500000000007</v>
      </c>
    </row>
    <row r="64" s="1" customFormat="1" ht="20" hidden="1" customHeight="1" spans="1:27">
      <c r="A64" s="15">
        <v>46102</v>
      </c>
      <c r="B64" s="16">
        <v>4303121811816</v>
      </c>
      <c r="C64" s="17" t="s">
        <v>37</v>
      </c>
      <c r="D64" s="19">
        <v>89.55</v>
      </c>
      <c r="E64" s="19">
        <v>94.62</v>
      </c>
      <c r="F64" s="19">
        <v>95.28</v>
      </c>
      <c r="G64" s="19">
        <v>95.58</v>
      </c>
      <c r="H64" s="19">
        <v>93.66</v>
      </c>
      <c r="I64" s="19">
        <v>95.66</v>
      </c>
      <c r="J64" s="19">
        <v>93.87</v>
      </c>
      <c r="K64" s="19">
        <v>90.58</v>
      </c>
      <c r="L64" s="19">
        <v>98.66</v>
      </c>
      <c r="M64" s="19">
        <v>98.75</v>
      </c>
      <c r="N64" s="19">
        <v>98.58</v>
      </c>
      <c r="O64" s="19">
        <v>92.55</v>
      </c>
      <c r="P64" s="19">
        <v>85.62</v>
      </c>
      <c r="Q64" s="19">
        <v>90.22</v>
      </c>
      <c r="R64" s="19">
        <v>92.65</v>
      </c>
      <c r="S64" s="19">
        <v>94.48</v>
      </c>
      <c r="T64" s="19">
        <v>96.77</v>
      </c>
      <c r="U64" s="19">
        <v>97.89</v>
      </c>
      <c r="V64" s="19">
        <v>96.58</v>
      </c>
      <c r="W64" s="19">
        <v>94.33</v>
      </c>
      <c r="X64" s="19">
        <v>95.28</v>
      </c>
      <c r="Y64" s="19">
        <v>95.54</v>
      </c>
      <c r="Z64" s="19">
        <v>95.22</v>
      </c>
      <c r="AA64" s="19">
        <v>90.35</v>
      </c>
    </row>
    <row r="65" s="1" customFormat="1" ht="20" customHeight="1" spans="1:28">
      <c r="A65" s="15"/>
      <c r="B65" s="16"/>
      <c r="C65" s="17" t="s">
        <v>38</v>
      </c>
      <c r="D65" s="19">
        <v>91.2683</v>
      </c>
      <c r="E65" s="19">
        <v>95.4571</v>
      </c>
      <c r="F65" s="19">
        <v>96.3124</v>
      </c>
      <c r="G65" s="19">
        <v>97.4688</v>
      </c>
      <c r="H65" s="19">
        <v>96.0661</v>
      </c>
      <c r="I65" s="19">
        <v>93.4261</v>
      </c>
      <c r="J65" s="19">
        <v>92.3402</v>
      </c>
      <c r="K65" s="19">
        <v>97.2312</v>
      </c>
      <c r="L65" s="19">
        <v>97.2505</v>
      </c>
      <c r="M65" s="19">
        <v>96.3872</v>
      </c>
      <c r="N65" s="19">
        <v>93.9187</v>
      </c>
      <c r="O65" s="19">
        <v>87.1728</v>
      </c>
      <c r="P65" s="19">
        <v>90.6364</v>
      </c>
      <c r="Q65" s="19">
        <v>96.6087</v>
      </c>
      <c r="R65" s="19">
        <v>96.2051</v>
      </c>
      <c r="S65" s="19">
        <v>98.9965</v>
      </c>
      <c r="T65" s="19">
        <v>96.6697</v>
      </c>
      <c r="U65" s="19">
        <v>96.8088</v>
      </c>
      <c r="V65" s="19">
        <v>93.6021</v>
      </c>
      <c r="W65" s="19">
        <v>90.0451</v>
      </c>
      <c r="X65" s="19">
        <v>94.3099</v>
      </c>
      <c r="Y65" s="19">
        <v>96.8831</v>
      </c>
      <c r="Z65" s="19">
        <v>96.1598</v>
      </c>
      <c r="AA65" s="19">
        <v>90.2264</v>
      </c>
      <c r="AB65" s="21">
        <f>MAX(D65:AA65)</f>
        <v>98.9965</v>
      </c>
    </row>
    <row r="66" s="1" customFormat="1" ht="20" hidden="1" customHeight="1" spans="1:27">
      <c r="A66" s="15"/>
      <c r="B66" s="16"/>
      <c r="C66" s="17" t="s">
        <v>39</v>
      </c>
      <c r="D66" s="19">
        <f t="shared" ref="D66:AA66" si="20">D64-D65</f>
        <v>-1.7183</v>
      </c>
      <c r="E66" s="19">
        <f t="shared" si="20"/>
        <v>-0.837099999999992</v>
      </c>
      <c r="F66" s="19">
        <f t="shared" si="20"/>
        <v>-1.0324</v>
      </c>
      <c r="G66" s="19">
        <f t="shared" si="20"/>
        <v>-1.8888</v>
      </c>
      <c r="H66" s="19">
        <f t="shared" si="20"/>
        <v>-2.40610000000001</v>
      </c>
      <c r="I66" s="19">
        <f t="shared" si="20"/>
        <v>2.23389999999999</v>
      </c>
      <c r="J66" s="19">
        <f t="shared" si="20"/>
        <v>1.52980000000001</v>
      </c>
      <c r="K66" s="19">
        <f t="shared" si="20"/>
        <v>-6.6512</v>
      </c>
      <c r="L66" s="19">
        <f t="shared" si="20"/>
        <v>1.40949999999999</v>
      </c>
      <c r="M66" s="19">
        <f t="shared" si="20"/>
        <v>2.36279999999999</v>
      </c>
      <c r="N66" s="19">
        <f t="shared" si="20"/>
        <v>4.6613</v>
      </c>
      <c r="O66" s="19">
        <f t="shared" si="20"/>
        <v>5.3772</v>
      </c>
      <c r="P66" s="19">
        <f t="shared" si="20"/>
        <v>-5.01639999999999</v>
      </c>
      <c r="Q66" s="19">
        <f t="shared" si="20"/>
        <v>-6.3887</v>
      </c>
      <c r="R66" s="19">
        <f t="shared" si="20"/>
        <v>-3.5551</v>
      </c>
      <c r="S66" s="19">
        <f t="shared" si="20"/>
        <v>-4.51649999999999</v>
      </c>
      <c r="T66" s="19">
        <f t="shared" si="20"/>
        <v>0.10029999999999</v>
      </c>
      <c r="U66" s="19">
        <f t="shared" si="20"/>
        <v>1.0812</v>
      </c>
      <c r="V66" s="19">
        <f t="shared" si="20"/>
        <v>2.97790000000001</v>
      </c>
      <c r="W66" s="19">
        <f t="shared" si="20"/>
        <v>4.28489999999999</v>
      </c>
      <c r="X66" s="19">
        <f t="shared" si="20"/>
        <v>0.970100000000002</v>
      </c>
      <c r="Y66" s="19">
        <f t="shared" si="20"/>
        <v>-1.34309999999999</v>
      </c>
      <c r="Z66" s="19">
        <f t="shared" si="20"/>
        <v>-0.939800000000005</v>
      </c>
      <c r="AA66" s="19">
        <f t="shared" si="20"/>
        <v>0.123599999999996</v>
      </c>
    </row>
    <row r="67" s="1" customFormat="1" ht="20" hidden="1" customHeight="1" spans="1:27">
      <c r="A67" s="15">
        <v>46103</v>
      </c>
      <c r="B67" s="16">
        <v>4303121811816</v>
      </c>
      <c r="C67" s="17" t="s">
        <v>37</v>
      </c>
      <c r="D67" s="20">
        <v>90.11</v>
      </c>
      <c r="E67" s="20">
        <v>93.58</v>
      </c>
      <c r="F67" s="20">
        <v>94.28</v>
      </c>
      <c r="G67" s="20">
        <v>96.11</v>
      </c>
      <c r="H67" s="20">
        <v>93.58</v>
      </c>
      <c r="I67" s="20">
        <v>90.33</v>
      </c>
      <c r="J67" s="20">
        <v>84.62</v>
      </c>
      <c r="K67" s="20">
        <v>81.22</v>
      </c>
      <c r="L67" s="20">
        <v>83.28</v>
      </c>
      <c r="M67" s="20">
        <v>81.22</v>
      </c>
      <c r="N67" s="20">
        <v>81.88</v>
      </c>
      <c r="O67" s="20">
        <v>75.76</v>
      </c>
      <c r="P67" s="20">
        <v>78.62</v>
      </c>
      <c r="Q67" s="20">
        <v>81.58</v>
      </c>
      <c r="R67" s="20">
        <v>82.33</v>
      </c>
      <c r="S67" s="20">
        <v>82.45</v>
      </c>
      <c r="T67" s="20">
        <v>83.66</v>
      </c>
      <c r="U67" s="20">
        <v>82.77</v>
      </c>
      <c r="V67" s="20">
        <v>80.18</v>
      </c>
      <c r="W67" s="20">
        <v>80.21</v>
      </c>
      <c r="X67" s="20">
        <v>81.66</v>
      </c>
      <c r="Y67" s="20">
        <v>84.59</v>
      </c>
      <c r="Z67" s="20">
        <v>82.66</v>
      </c>
      <c r="AA67" s="20">
        <v>78.22</v>
      </c>
    </row>
    <row r="68" s="1" customFormat="1" ht="20" customHeight="1" spans="1:28">
      <c r="A68" s="15"/>
      <c r="B68" s="16"/>
      <c r="C68" s="17" t="s">
        <v>38</v>
      </c>
      <c r="D68" s="20">
        <v>90.7456</v>
      </c>
      <c r="E68" s="20">
        <v>93.0649</v>
      </c>
      <c r="F68" s="20">
        <v>92.9456</v>
      </c>
      <c r="G68" s="20">
        <v>95.0013</v>
      </c>
      <c r="H68" s="20">
        <v>93.7717</v>
      </c>
      <c r="I68" s="20">
        <v>91.4531</v>
      </c>
      <c r="J68" s="20">
        <v>86.6624</v>
      </c>
      <c r="K68" s="20">
        <v>82.537</v>
      </c>
      <c r="L68" s="20">
        <v>86.3966</v>
      </c>
      <c r="M68" s="20">
        <v>86.9106</v>
      </c>
      <c r="N68" s="20">
        <v>83.5631</v>
      </c>
      <c r="O68" s="20">
        <v>82.3158</v>
      </c>
      <c r="P68" s="20">
        <v>79.7051</v>
      </c>
      <c r="Q68" s="20">
        <v>84.612</v>
      </c>
      <c r="R68" s="20">
        <v>84.8268</v>
      </c>
      <c r="S68" s="20">
        <v>82.9787</v>
      </c>
      <c r="T68" s="20">
        <v>84.4695</v>
      </c>
      <c r="U68" s="20">
        <v>84.869</v>
      </c>
      <c r="V68" s="20">
        <v>80.821</v>
      </c>
      <c r="W68" s="20">
        <v>78.2777</v>
      </c>
      <c r="X68" s="20">
        <v>85.2069</v>
      </c>
      <c r="Y68" s="20">
        <v>83.7954</v>
      </c>
      <c r="Z68" s="20">
        <v>83.0438</v>
      </c>
      <c r="AA68" s="20">
        <v>80.2754</v>
      </c>
      <c r="AB68" s="21">
        <f>MAX(D68:AA68)</f>
        <v>95.0013</v>
      </c>
    </row>
    <row r="69" s="1" customFormat="1" ht="20" hidden="1" customHeight="1" spans="1:27">
      <c r="A69" s="15"/>
      <c r="B69" s="16"/>
      <c r="C69" s="17" t="s">
        <v>39</v>
      </c>
      <c r="D69" s="20">
        <f t="shared" ref="D69:AA69" si="21">D67-D68</f>
        <v>-0.635599999999997</v>
      </c>
      <c r="E69" s="20">
        <f t="shared" si="21"/>
        <v>0.515100000000004</v>
      </c>
      <c r="F69" s="20">
        <f t="shared" si="21"/>
        <v>1.3344</v>
      </c>
      <c r="G69" s="20">
        <f t="shared" si="21"/>
        <v>1.1087</v>
      </c>
      <c r="H69" s="20">
        <f t="shared" si="21"/>
        <v>-0.191699999999997</v>
      </c>
      <c r="I69" s="20">
        <f t="shared" si="21"/>
        <v>-1.12310000000001</v>
      </c>
      <c r="J69" s="20">
        <f t="shared" si="21"/>
        <v>-2.0424</v>
      </c>
      <c r="K69" s="20">
        <f t="shared" si="21"/>
        <v>-1.31700000000001</v>
      </c>
      <c r="L69" s="20">
        <f t="shared" si="21"/>
        <v>-3.11660000000001</v>
      </c>
      <c r="M69" s="20">
        <f t="shared" si="21"/>
        <v>-5.6906</v>
      </c>
      <c r="N69" s="20">
        <f t="shared" si="21"/>
        <v>-1.68310000000001</v>
      </c>
      <c r="O69" s="20">
        <f t="shared" si="21"/>
        <v>-6.55579999999999</v>
      </c>
      <c r="P69" s="20">
        <f t="shared" si="21"/>
        <v>-1.0851</v>
      </c>
      <c r="Q69" s="20">
        <f t="shared" si="21"/>
        <v>-3.032</v>
      </c>
      <c r="R69" s="20">
        <f t="shared" si="21"/>
        <v>-2.49680000000001</v>
      </c>
      <c r="S69" s="20">
        <f t="shared" si="21"/>
        <v>-0.528700000000001</v>
      </c>
      <c r="T69" s="20">
        <f t="shared" si="21"/>
        <v>-0.8095</v>
      </c>
      <c r="U69" s="20">
        <f t="shared" si="21"/>
        <v>-2.099</v>
      </c>
      <c r="V69" s="20">
        <f t="shared" si="21"/>
        <v>-0.640999999999991</v>
      </c>
      <c r="W69" s="20">
        <f t="shared" si="21"/>
        <v>1.9323</v>
      </c>
      <c r="X69" s="20">
        <f t="shared" si="21"/>
        <v>-3.54690000000001</v>
      </c>
      <c r="Y69" s="20">
        <f t="shared" si="21"/>
        <v>0.794600000000003</v>
      </c>
      <c r="Z69" s="20">
        <f t="shared" si="21"/>
        <v>-0.383800000000008</v>
      </c>
      <c r="AA69" s="20">
        <f t="shared" si="21"/>
        <v>-2.05540000000001</v>
      </c>
    </row>
    <row r="70" s="1" customFormat="1" ht="20" hidden="1" customHeight="1" spans="1:27">
      <c r="A70" s="15">
        <v>46104</v>
      </c>
      <c r="B70" s="16">
        <v>4303121811816</v>
      </c>
      <c r="C70" s="17" t="s">
        <v>37</v>
      </c>
      <c r="D70" s="19">
        <v>78.58</v>
      </c>
      <c r="E70" s="19">
        <v>83.33</v>
      </c>
      <c r="F70" s="19">
        <v>82.98</v>
      </c>
      <c r="G70" s="19">
        <v>82.54</v>
      </c>
      <c r="H70" s="19">
        <v>84.11</v>
      </c>
      <c r="I70" s="19">
        <v>83.68</v>
      </c>
      <c r="J70" s="19">
        <v>83.89</v>
      </c>
      <c r="K70" s="19">
        <v>86.55</v>
      </c>
      <c r="L70" s="19">
        <v>98.62</v>
      </c>
      <c r="M70" s="19">
        <v>98.55</v>
      </c>
      <c r="N70" s="19">
        <v>98.66</v>
      </c>
      <c r="O70" s="19">
        <v>92.71</v>
      </c>
      <c r="P70" s="19">
        <v>85.66</v>
      </c>
      <c r="Q70" s="19">
        <v>90.21</v>
      </c>
      <c r="R70" s="19">
        <v>92.58</v>
      </c>
      <c r="S70" s="19">
        <v>94.33</v>
      </c>
      <c r="T70" s="19">
        <v>96.68</v>
      </c>
      <c r="U70" s="19">
        <v>97.76</v>
      </c>
      <c r="V70" s="19">
        <v>96.55</v>
      </c>
      <c r="W70" s="19">
        <v>94.28</v>
      </c>
      <c r="X70" s="19">
        <v>95.33</v>
      </c>
      <c r="Y70" s="19">
        <v>95.45</v>
      </c>
      <c r="Z70" s="19">
        <v>95.31</v>
      </c>
      <c r="AA70" s="19">
        <v>90.28</v>
      </c>
    </row>
    <row r="71" s="1" customFormat="1" ht="20" customHeight="1" spans="1:28">
      <c r="A71" s="15"/>
      <c r="B71" s="16"/>
      <c r="C71" s="17" t="s">
        <v>38</v>
      </c>
      <c r="D71" s="19">
        <v>79.6769</v>
      </c>
      <c r="E71" s="19">
        <v>81.965</v>
      </c>
      <c r="F71" s="19">
        <v>81.8048</v>
      </c>
      <c r="G71" s="19">
        <v>84.1615</v>
      </c>
      <c r="H71" s="19">
        <v>83.7232</v>
      </c>
      <c r="I71" s="19">
        <v>84.7458</v>
      </c>
      <c r="J71" s="19">
        <v>84.6293</v>
      </c>
      <c r="K71" s="19">
        <v>91.2789</v>
      </c>
      <c r="L71" s="19">
        <v>98.9014</v>
      </c>
      <c r="M71" s="19">
        <v>98.6762</v>
      </c>
      <c r="N71" s="19">
        <v>98.7272</v>
      </c>
      <c r="O71" s="19">
        <v>93.9125</v>
      </c>
      <c r="P71" s="19">
        <v>89.364</v>
      </c>
      <c r="Q71" s="19">
        <v>98.7061</v>
      </c>
      <c r="R71" s="19">
        <v>100.6386</v>
      </c>
      <c r="S71" s="19">
        <v>99.1425</v>
      </c>
      <c r="T71" s="19">
        <v>99.1443</v>
      </c>
      <c r="U71" s="19">
        <v>98.1658</v>
      </c>
      <c r="V71" s="19">
        <v>94.8851</v>
      </c>
      <c r="W71" s="19">
        <v>92.0497</v>
      </c>
      <c r="X71" s="19">
        <v>95.6208</v>
      </c>
      <c r="Y71" s="19">
        <v>94.5859</v>
      </c>
      <c r="Z71" s="19">
        <v>94.6585</v>
      </c>
      <c r="AA71" s="19">
        <v>91.1205</v>
      </c>
      <c r="AB71" s="21">
        <f>MAX(D71:AA71)</f>
        <v>100.6386</v>
      </c>
    </row>
    <row r="72" s="1" customFormat="1" ht="20" hidden="1" customHeight="1" spans="1:27">
      <c r="A72" s="15"/>
      <c r="B72" s="16"/>
      <c r="C72" s="17" t="s">
        <v>39</v>
      </c>
      <c r="D72" s="19">
        <f t="shared" ref="D72:AA72" si="22">D70-D71</f>
        <v>-1.09690000000001</v>
      </c>
      <c r="E72" s="19">
        <f t="shared" si="22"/>
        <v>1.36499999999999</v>
      </c>
      <c r="F72" s="19">
        <f t="shared" si="22"/>
        <v>1.1752</v>
      </c>
      <c r="G72" s="19">
        <f t="shared" si="22"/>
        <v>-1.6215</v>
      </c>
      <c r="H72" s="19">
        <f t="shared" si="22"/>
        <v>0.386799999999994</v>
      </c>
      <c r="I72" s="19">
        <f t="shared" si="22"/>
        <v>-1.0658</v>
      </c>
      <c r="J72" s="19">
        <f t="shared" si="22"/>
        <v>-0.7393</v>
      </c>
      <c r="K72" s="19">
        <f t="shared" si="22"/>
        <v>-4.7289</v>
      </c>
      <c r="L72" s="19">
        <f t="shared" si="22"/>
        <v>-0.281399999999991</v>
      </c>
      <c r="M72" s="19">
        <f t="shared" si="22"/>
        <v>-0.126199999999997</v>
      </c>
      <c r="N72" s="19">
        <f t="shared" si="22"/>
        <v>-0.0671999999999997</v>
      </c>
      <c r="O72" s="19">
        <f t="shared" si="22"/>
        <v>-1.2025</v>
      </c>
      <c r="P72" s="19">
        <f t="shared" si="22"/>
        <v>-3.70400000000001</v>
      </c>
      <c r="Q72" s="19">
        <f t="shared" si="22"/>
        <v>-8.49610000000001</v>
      </c>
      <c r="R72" s="19">
        <f t="shared" si="22"/>
        <v>-8.0586</v>
      </c>
      <c r="S72" s="19">
        <f t="shared" si="22"/>
        <v>-4.8125</v>
      </c>
      <c r="T72" s="19">
        <f t="shared" si="22"/>
        <v>-2.46429999999999</v>
      </c>
      <c r="U72" s="19">
        <f t="shared" si="22"/>
        <v>-0.405799999999999</v>
      </c>
      <c r="V72" s="19">
        <f t="shared" si="22"/>
        <v>1.6649</v>
      </c>
      <c r="W72" s="19">
        <f t="shared" si="22"/>
        <v>2.2303</v>
      </c>
      <c r="X72" s="19">
        <f t="shared" si="22"/>
        <v>-0.290800000000004</v>
      </c>
      <c r="Y72" s="19">
        <f t="shared" si="22"/>
        <v>0.864100000000008</v>
      </c>
      <c r="Z72" s="19">
        <f t="shared" si="22"/>
        <v>0.651499999999999</v>
      </c>
      <c r="AA72" s="19">
        <f t="shared" si="22"/>
        <v>-0.840500000000006</v>
      </c>
    </row>
    <row r="73" s="1" customFormat="1" ht="20" hidden="1" customHeight="1" spans="1:27">
      <c r="A73" s="15">
        <v>46105</v>
      </c>
      <c r="B73" s="16">
        <v>4303121811816</v>
      </c>
      <c r="C73" s="17" t="s">
        <v>37</v>
      </c>
      <c r="D73" s="20">
        <v>90.22</v>
      </c>
      <c r="E73" s="20">
        <v>94.22</v>
      </c>
      <c r="F73" s="20">
        <v>95.31</v>
      </c>
      <c r="G73" s="20">
        <v>96.22</v>
      </c>
      <c r="H73" s="20">
        <v>94.11</v>
      </c>
      <c r="I73" s="20">
        <v>95.54</v>
      </c>
      <c r="J73" s="20">
        <v>93.66</v>
      </c>
      <c r="K73" s="20">
        <v>91.62</v>
      </c>
      <c r="L73" s="20">
        <v>100.21</v>
      </c>
      <c r="M73" s="20">
        <v>100.54</v>
      </c>
      <c r="N73" s="20">
        <v>98.66</v>
      </c>
      <c r="O73" s="20">
        <v>93.58</v>
      </c>
      <c r="P73" s="20">
        <v>93.11</v>
      </c>
      <c r="Q73" s="20">
        <v>99.68</v>
      </c>
      <c r="R73" s="20">
        <v>100.43</v>
      </c>
      <c r="S73" s="20">
        <v>98.55</v>
      </c>
      <c r="T73" s="20">
        <v>100.28</v>
      </c>
      <c r="U73" s="20">
        <v>98.66</v>
      </c>
      <c r="V73" s="20">
        <v>97.22</v>
      </c>
      <c r="W73" s="20">
        <v>95.62</v>
      </c>
      <c r="X73" s="20">
        <v>98.66</v>
      </c>
      <c r="Y73" s="20">
        <v>97.77</v>
      </c>
      <c r="Z73" s="20">
        <v>96.22</v>
      </c>
      <c r="AA73" s="20">
        <v>92.55</v>
      </c>
    </row>
    <row r="74" s="1" customFormat="1" ht="20" customHeight="1" spans="1:28">
      <c r="A74" s="15"/>
      <c r="B74" s="16"/>
      <c r="C74" s="17" t="s">
        <v>38</v>
      </c>
      <c r="D74" s="20">
        <v>90.7931</v>
      </c>
      <c r="E74" s="20">
        <v>92.8981</v>
      </c>
      <c r="F74" s="20">
        <v>93.9717</v>
      </c>
      <c r="G74" s="20">
        <v>95.1949</v>
      </c>
      <c r="H74" s="20">
        <v>94.3995</v>
      </c>
      <c r="I74" s="20">
        <v>93.7798</v>
      </c>
      <c r="J74" s="20">
        <v>92.4828</v>
      </c>
      <c r="K74" s="20">
        <v>92.5688</v>
      </c>
      <c r="L74" s="20">
        <v>99.8493</v>
      </c>
      <c r="M74" s="20">
        <v>99.8149</v>
      </c>
      <c r="N74" s="20">
        <v>98.7641</v>
      </c>
      <c r="O74" s="20">
        <v>95.714</v>
      </c>
      <c r="P74" s="20">
        <v>95.2952</v>
      </c>
      <c r="Q74" s="20">
        <v>100.8761</v>
      </c>
      <c r="R74" s="20">
        <v>100.6841</v>
      </c>
      <c r="S74" s="20">
        <v>100.4696</v>
      </c>
      <c r="T74" s="20">
        <v>102.1345</v>
      </c>
      <c r="U74" s="20">
        <v>100.0454</v>
      </c>
      <c r="V74" s="20">
        <v>97.4671</v>
      </c>
      <c r="W74" s="20">
        <v>92.3718</v>
      </c>
      <c r="X74" s="20">
        <v>97.3773</v>
      </c>
      <c r="Y74" s="20">
        <v>96.5923</v>
      </c>
      <c r="Z74" s="20">
        <v>95.4342</v>
      </c>
      <c r="AA74" s="20">
        <v>92.2487</v>
      </c>
      <c r="AB74" s="21">
        <f>MAX(D74:AA74)</f>
        <v>102.1345</v>
      </c>
    </row>
    <row r="75" s="1" customFormat="1" ht="20" hidden="1" customHeight="1" spans="1:27">
      <c r="A75" s="15"/>
      <c r="B75" s="16"/>
      <c r="C75" s="17" t="s">
        <v>39</v>
      </c>
      <c r="D75" s="20">
        <f t="shared" ref="D75:AA75" si="23">D73-D74</f>
        <v>-0.573099999999997</v>
      </c>
      <c r="E75" s="20">
        <f t="shared" si="23"/>
        <v>1.3219</v>
      </c>
      <c r="F75" s="20">
        <f t="shared" si="23"/>
        <v>1.3383</v>
      </c>
      <c r="G75" s="20">
        <f t="shared" si="23"/>
        <v>1.02509999999999</v>
      </c>
      <c r="H75" s="20">
        <f t="shared" si="23"/>
        <v>-0.289500000000004</v>
      </c>
      <c r="I75" s="20">
        <f t="shared" si="23"/>
        <v>1.76020000000001</v>
      </c>
      <c r="J75" s="20">
        <f t="shared" si="23"/>
        <v>1.1772</v>
      </c>
      <c r="K75" s="20">
        <f t="shared" si="23"/>
        <v>-0.948799999999991</v>
      </c>
      <c r="L75" s="20">
        <f t="shared" si="23"/>
        <v>0.360699999999994</v>
      </c>
      <c r="M75" s="20">
        <f t="shared" si="23"/>
        <v>0.725100000000012</v>
      </c>
      <c r="N75" s="20">
        <f t="shared" si="23"/>
        <v>-0.104100000000003</v>
      </c>
      <c r="O75" s="20">
        <f t="shared" si="23"/>
        <v>-2.134</v>
      </c>
      <c r="P75" s="20">
        <f t="shared" si="23"/>
        <v>-2.18519999999999</v>
      </c>
      <c r="Q75" s="20">
        <f t="shared" si="23"/>
        <v>-1.19609999999999</v>
      </c>
      <c r="R75" s="20">
        <f t="shared" si="23"/>
        <v>-0.254099999999994</v>
      </c>
      <c r="S75" s="20">
        <f t="shared" si="23"/>
        <v>-1.9196</v>
      </c>
      <c r="T75" s="20">
        <f t="shared" si="23"/>
        <v>-1.8545</v>
      </c>
      <c r="U75" s="20">
        <f t="shared" si="23"/>
        <v>-1.3854</v>
      </c>
      <c r="V75" s="20">
        <f t="shared" si="23"/>
        <v>-0.247100000000003</v>
      </c>
      <c r="W75" s="20">
        <f t="shared" si="23"/>
        <v>3.24820000000001</v>
      </c>
      <c r="X75" s="20">
        <f t="shared" si="23"/>
        <v>1.28269999999999</v>
      </c>
      <c r="Y75" s="20">
        <f t="shared" si="23"/>
        <v>1.1777</v>
      </c>
      <c r="Z75" s="20">
        <f t="shared" si="23"/>
        <v>0.785799999999995</v>
      </c>
      <c r="AA75" s="20">
        <f t="shared" si="23"/>
        <v>0.301299999999998</v>
      </c>
    </row>
    <row r="76" s="1" customFormat="1" ht="20" hidden="1" customHeight="1" spans="1:27">
      <c r="A76" s="15">
        <v>46106</v>
      </c>
      <c r="B76" s="16">
        <v>4303121811816</v>
      </c>
      <c r="C76" s="17" t="s">
        <v>37</v>
      </c>
      <c r="D76" s="19">
        <v>90.18</v>
      </c>
      <c r="E76" s="19">
        <v>94.33</v>
      </c>
      <c r="F76" s="19">
        <v>95.28</v>
      </c>
      <c r="G76" s="19">
        <v>96.33</v>
      </c>
      <c r="H76" s="19">
        <v>94.21</v>
      </c>
      <c r="I76" s="19">
        <v>95.62</v>
      </c>
      <c r="J76" s="19">
        <v>93.59</v>
      </c>
      <c r="K76" s="19">
        <v>91.57</v>
      </c>
      <c r="L76" s="19">
        <v>100.11</v>
      </c>
      <c r="M76" s="19">
        <v>100.62</v>
      </c>
      <c r="N76" s="19">
        <v>98.58</v>
      </c>
      <c r="O76" s="19">
        <v>93.66</v>
      </c>
      <c r="P76" s="19">
        <v>93.21</v>
      </c>
      <c r="Q76" s="19">
        <v>99.76</v>
      </c>
      <c r="R76" s="19">
        <v>100.58</v>
      </c>
      <c r="S76" s="19">
        <v>98.65</v>
      </c>
      <c r="T76" s="19">
        <v>99.89</v>
      </c>
      <c r="U76" s="19">
        <v>98.58</v>
      </c>
      <c r="V76" s="19">
        <v>97.33</v>
      </c>
      <c r="W76" s="19">
        <v>95.76</v>
      </c>
      <c r="X76" s="19">
        <v>98.58</v>
      </c>
      <c r="Y76" s="19">
        <v>97.66</v>
      </c>
      <c r="Z76" s="19">
        <v>96.31</v>
      </c>
      <c r="AA76" s="19">
        <v>92.33</v>
      </c>
    </row>
    <row r="77" s="1" customFormat="1" ht="20" customHeight="1" spans="1:28">
      <c r="A77" s="15"/>
      <c r="B77" s="16"/>
      <c r="C77" s="17" t="s">
        <v>38</v>
      </c>
      <c r="D77" s="19">
        <v>91.4232</v>
      </c>
      <c r="E77" s="19">
        <v>94.9537</v>
      </c>
      <c r="F77" s="19">
        <v>95.3832</v>
      </c>
      <c r="G77" s="19">
        <v>95.5117</v>
      </c>
      <c r="H77" s="19">
        <v>96.7789</v>
      </c>
      <c r="I77" s="19">
        <v>93.361</v>
      </c>
      <c r="J77" s="19">
        <v>94.2551</v>
      </c>
      <c r="K77" s="19">
        <v>90.3274</v>
      </c>
      <c r="L77" s="19">
        <v>96.6135</v>
      </c>
      <c r="M77" s="19">
        <v>94.2383</v>
      </c>
      <c r="N77" s="19">
        <v>93.6162</v>
      </c>
      <c r="O77" s="19">
        <v>90.454</v>
      </c>
      <c r="P77" s="19">
        <v>90.2299</v>
      </c>
      <c r="Q77" s="19">
        <v>97.6553</v>
      </c>
      <c r="R77" s="19">
        <v>97.6943</v>
      </c>
      <c r="S77" s="19">
        <v>98.0584</v>
      </c>
      <c r="T77" s="19">
        <v>100.3165</v>
      </c>
      <c r="U77" s="19">
        <v>98.4069</v>
      </c>
      <c r="V77" s="19">
        <v>95.575</v>
      </c>
      <c r="W77" s="19">
        <v>91.6414</v>
      </c>
      <c r="X77" s="19">
        <v>96.059</v>
      </c>
      <c r="Y77" s="19">
        <v>94.4522</v>
      </c>
      <c r="Z77" s="19">
        <v>96.0625</v>
      </c>
      <c r="AA77" s="19">
        <v>92.3208</v>
      </c>
      <c r="AB77" s="21">
        <f>MAX(D77:AA77)</f>
        <v>100.3165</v>
      </c>
    </row>
    <row r="78" s="1" customFormat="1" ht="20" hidden="1" customHeight="1" spans="1:27">
      <c r="A78" s="15"/>
      <c r="B78" s="16"/>
      <c r="C78" s="17" t="s">
        <v>39</v>
      </c>
      <c r="D78" s="19">
        <f t="shared" ref="D78:AA78" si="24">D76-D77</f>
        <v>-1.24319999999999</v>
      </c>
      <c r="E78" s="19">
        <f t="shared" si="24"/>
        <v>-0.623699999999999</v>
      </c>
      <c r="F78" s="19">
        <f t="shared" si="24"/>
        <v>-0.103200000000001</v>
      </c>
      <c r="G78" s="19">
        <f t="shared" si="24"/>
        <v>0.818299999999994</v>
      </c>
      <c r="H78" s="19">
        <f t="shared" si="24"/>
        <v>-2.5689</v>
      </c>
      <c r="I78" s="19">
        <f t="shared" si="24"/>
        <v>2.259</v>
      </c>
      <c r="J78" s="19">
        <f t="shared" si="24"/>
        <v>-0.665099999999995</v>
      </c>
      <c r="K78" s="19">
        <f t="shared" si="24"/>
        <v>1.2426</v>
      </c>
      <c r="L78" s="19">
        <f t="shared" si="24"/>
        <v>3.4965</v>
      </c>
      <c r="M78" s="19">
        <f t="shared" si="24"/>
        <v>6.38170000000001</v>
      </c>
      <c r="N78" s="19">
        <f t="shared" si="24"/>
        <v>4.96379999999999</v>
      </c>
      <c r="O78" s="19">
        <f t="shared" si="24"/>
        <v>3.206</v>
      </c>
      <c r="P78" s="19">
        <f t="shared" si="24"/>
        <v>2.98009999999999</v>
      </c>
      <c r="Q78" s="19">
        <f t="shared" si="24"/>
        <v>2.10470000000001</v>
      </c>
      <c r="R78" s="19">
        <f t="shared" si="24"/>
        <v>2.8857</v>
      </c>
      <c r="S78" s="19">
        <f t="shared" si="24"/>
        <v>0.5916</v>
      </c>
      <c r="T78" s="19">
        <f t="shared" si="24"/>
        <v>-0.426500000000004</v>
      </c>
      <c r="U78" s="19">
        <f t="shared" si="24"/>
        <v>0.173100000000005</v>
      </c>
      <c r="V78" s="19">
        <f t="shared" si="24"/>
        <v>1.755</v>
      </c>
      <c r="W78" s="19">
        <f t="shared" si="24"/>
        <v>4.1186</v>
      </c>
      <c r="X78" s="19">
        <f t="shared" si="24"/>
        <v>2.521</v>
      </c>
      <c r="Y78" s="19">
        <f t="shared" si="24"/>
        <v>3.20779999999999</v>
      </c>
      <c r="Z78" s="19">
        <f t="shared" si="24"/>
        <v>0.247500000000002</v>
      </c>
      <c r="AA78" s="19">
        <f t="shared" si="24"/>
        <v>0.00919999999999277</v>
      </c>
    </row>
    <row r="79" s="1" customFormat="1" ht="20" hidden="1" customHeight="1" spans="1:27">
      <c r="A79" s="15">
        <v>46107</v>
      </c>
      <c r="B79" s="16">
        <v>4303121811816</v>
      </c>
      <c r="C79" s="17" t="s">
        <v>37</v>
      </c>
      <c r="D79" s="20">
        <v>90.28</v>
      </c>
      <c r="E79" s="20">
        <v>94.28</v>
      </c>
      <c r="F79" s="20">
        <v>95.33</v>
      </c>
      <c r="G79" s="20">
        <v>96.28</v>
      </c>
      <c r="H79" s="20">
        <v>94.35</v>
      </c>
      <c r="I79" s="20">
        <v>95.57</v>
      </c>
      <c r="J79" s="20">
        <v>93.62</v>
      </c>
      <c r="K79" s="20">
        <v>91.61</v>
      </c>
      <c r="L79" s="20">
        <v>99.86</v>
      </c>
      <c r="M79" s="20">
        <v>99.98</v>
      </c>
      <c r="N79" s="20">
        <v>99.87</v>
      </c>
      <c r="O79" s="20">
        <v>94.28</v>
      </c>
      <c r="P79" s="20">
        <v>93.55</v>
      </c>
      <c r="Q79" s="20">
        <v>99.62</v>
      </c>
      <c r="R79" s="20">
        <v>100.28</v>
      </c>
      <c r="S79" s="20">
        <v>100.68</v>
      </c>
      <c r="T79" s="20">
        <v>99.62</v>
      </c>
      <c r="U79" s="20">
        <v>99.44</v>
      </c>
      <c r="V79" s="20">
        <v>96.55</v>
      </c>
      <c r="W79" s="20">
        <v>92.54</v>
      </c>
      <c r="X79" s="20">
        <v>98.62</v>
      </c>
      <c r="Y79" s="20">
        <v>98.72</v>
      </c>
      <c r="Z79" s="20">
        <v>96.48</v>
      </c>
      <c r="AA79" s="20">
        <v>91.55</v>
      </c>
    </row>
    <row r="80" s="1" customFormat="1" ht="20" customHeight="1" spans="1:28">
      <c r="A80" s="15"/>
      <c r="B80" s="16"/>
      <c r="C80" s="17" t="s">
        <v>38</v>
      </c>
      <c r="D80" s="20">
        <v>90.2739</v>
      </c>
      <c r="E80" s="20">
        <v>92.8048</v>
      </c>
      <c r="F80" s="20">
        <v>93.6432</v>
      </c>
      <c r="G80" s="20">
        <v>94.8429</v>
      </c>
      <c r="H80" s="20">
        <v>94.4046</v>
      </c>
      <c r="I80" s="20">
        <v>93.6373</v>
      </c>
      <c r="J80" s="20">
        <v>93.0231</v>
      </c>
      <c r="K80" s="20">
        <v>91.5205</v>
      </c>
      <c r="L80" s="20">
        <v>100.6118</v>
      </c>
      <c r="M80" s="20">
        <v>99.8072</v>
      </c>
      <c r="N80" s="20">
        <v>97.4055</v>
      </c>
      <c r="O80" s="20">
        <v>94.6528</v>
      </c>
      <c r="P80" s="20">
        <v>93.9523</v>
      </c>
      <c r="Q80" s="20">
        <v>99.4628</v>
      </c>
      <c r="R80" s="20">
        <v>101.8497</v>
      </c>
      <c r="S80" s="20">
        <v>102.1275</v>
      </c>
      <c r="T80" s="20">
        <v>100.3069</v>
      </c>
      <c r="U80" s="20">
        <v>99.1461</v>
      </c>
      <c r="V80" s="20">
        <v>95.4624</v>
      </c>
      <c r="W80" s="20">
        <v>92.4458</v>
      </c>
      <c r="X80" s="20">
        <v>96.9531</v>
      </c>
      <c r="Y80" s="20">
        <v>96.5465</v>
      </c>
      <c r="Z80" s="20">
        <v>97.1186</v>
      </c>
      <c r="AA80" s="20">
        <v>93.8256</v>
      </c>
      <c r="AB80" s="21">
        <f>MAX(D80:AA80)</f>
        <v>102.1275</v>
      </c>
    </row>
    <row r="81" s="1" customFormat="1" ht="20" hidden="1" customHeight="1" spans="1:27">
      <c r="A81" s="15"/>
      <c r="B81" s="16"/>
      <c r="C81" s="17" t="s">
        <v>39</v>
      </c>
      <c r="D81" s="20">
        <f t="shared" ref="D81:AA81" si="25">D79-D80</f>
        <v>0.00610000000000355</v>
      </c>
      <c r="E81" s="20">
        <f t="shared" si="25"/>
        <v>1.4752</v>
      </c>
      <c r="F81" s="20">
        <f t="shared" si="25"/>
        <v>1.68680000000001</v>
      </c>
      <c r="G81" s="20">
        <f t="shared" si="25"/>
        <v>1.4371</v>
      </c>
      <c r="H81" s="20">
        <f t="shared" si="25"/>
        <v>-0.0546000000000078</v>
      </c>
      <c r="I81" s="20">
        <f t="shared" si="25"/>
        <v>1.9327</v>
      </c>
      <c r="J81" s="20">
        <f t="shared" si="25"/>
        <v>0.596900000000005</v>
      </c>
      <c r="K81" s="20">
        <f t="shared" si="25"/>
        <v>0.089500000000001</v>
      </c>
      <c r="L81" s="20">
        <f t="shared" si="25"/>
        <v>-0.751800000000003</v>
      </c>
      <c r="M81" s="20">
        <f t="shared" si="25"/>
        <v>0.172800000000009</v>
      </c>
      <c r="N81" s="20">
        <f t="shared" si="25"/>
        <v>2.4645</v>
      </c>
      <c r="O81" s="20">
        <f t="shared" si="25"/>
        <v>-0.372799999999998</v>
      </c>
      <c r="P81" s="20">
        <f t="shared" si="25"/>
        <v>-0.402299999999997</v>
      </c>
      <c r="Q81" s="20">
        <f t="shared" si="25"/>
        <v>0.157200000000003</v>
      </c>
      <c r="R81" s="20">
        <f t="shared" si="25"/>
        <v>-1.5697</v>
      </c>
      <c r="S81" s="20">
        <f t="shared" si="25"/>
        <v>-1.44749999999999</v>
      </c>
      <c r="T81" s="20">
        <f t="shared" si="25"/>
        <v>-0.686899999999994</v>
      </c>
      <c r="U81" s="20">
        <f t="shared" si="25"/>
        <v>0.293899999999994</v>
      </c>
      <c r="V81" s="20">
        <f t="shared" si="25"/>
        <v>1.08759999999999</v>
      </c>
      <c r="W81" s="20">
        <f t="shared" si="25"/>
        <v>0.0942000000000007</v>
      </c>
      <c r="X81" s="20">
        <f t="shared" si="25"/>
        <v>1.6669</v>
      </c>
      <c r="Y81" s="20">
        <f t="shared" si="25"/>
        <v>2.1735</v>
      </c>
      <c r="Z81" s="20">
        <f t="shared" si="25"/>
        <v>-0.638599999999997</v>
      </c>
      <c r="AA81" s="20">
        <f t="shared" si="25"/>
        <v>-2.2756</v>
      </c>
    </row>
    <row r="82" s="1" customFormat="1" ht="20" hidden="1" customHeight="1" spans="1:27">
      <c r="A82" s="15">
        <v>46108</v>
      </c>
      <c r="B82" s="16">
        <v>4303121811816</v>
      </c>
      <c r="C82" s="17" t="s">
        <v>37</v>
      </c>
      <c r="D82" s="19">
        <v>90.11</v>
      </c>
      <c r="E82" s="19">
        <v>94.33</v>
      </c>
      <c r="F82" s="19">
        <v>95.28</v>
      </c>
      <c r="G82" s="19">
        <v>96.33</v>
      </c>
      <c r="H82" s="19">
        <v>94.41</v>
      </c>
      <c r="I82" s="19">
        <v>95.66</v>
      </c>
      <c r="J82" s="19">
        <v>93.72</v>
      </c>
      <c r="K82" s="19">
        <v>91.55</v>
      </c>
      <c r="L82" s="19">
        <v>99.96</v>
      </c>
      <c r="M82" s="19">
        <v>99.88</v>
      </c>
      <c r="N82" s="19">
        <v>99.74</v>
      </c>
      <c r="O82" s="19">
        <v>94.33</v>
      </c>
      <c r="P82" s="19">
        <v>93.62</v>
      </c>
      <c r="Q82" s="19">
        <v>99.71</v>
      </c>
      <c r="R82" s="19">
        <v>100.33</v>
      </c>
      <c r="S82" s="19">
        <v>100.84</v>
      </c>
      <c r="T82" s="19">
        <v>99.71</v>
      </c>
      <c r="U82" s="19">
        <v>99.52</v>
      </c>
      <c r="V82" s="19">
        <v>96.61</v>
      </c>
      <c r="W82" s="19">
        <v>92.48</v>
      </c>
      <c r="X82" s="19">
        <v>98.58</v>
      </c>
      <c r="Y82" s="19">
        <v>98.65</v>
      </c>
      <c r="Z82" s="19">
        <v>96.54</v>
      </c>
      <c r="AA82" s="19">
        <v>91.62</v>
      </c>
    </row>
    <row r="83" s="1" customFormat="1" ht="20" customHeight="1" spans="1:28">
      <c r="A83" s="15"/>
      <c r="B83" s="16"/>
      <c r="C83" s="17" t="s">
        <v>38</v>
      </c>
      <c r="D83" s="19">
        <v>93.9031</v>
      </c>
      <c r="E83" s="19">
        <v>95.6877</v>
      </c>
      <c r="F83" s="19">
        <v>95.9376</v>
      </c>
      <c r="G83" s="19">
        <v>96.008</v>
      </c>
      <c r="H83" s="19">
        <v>94.7322</v>
      </c>
      <c r="I83" s="19">
        <v>92.8759</v>
      </c>
      <c r="J83" s="19">
        <v>92.708</v>
      </c>
      <c r="K83" s="19">
        <v>95.4148</v>
      </c>
      <c r="L83" s="19">
        <v>96.7226</v>
      </c>
      <c r="M83" s="19">
        <v>100.0173</v>
      </c>
      <c r="N83" s="19">
        <v>92.4211</v>
      </c>
      <c r="O83" s="19">
        <v>90.4253</v>
      </c>
      <c r="P83" s="19">
        <v>88.9275</v>
      </c>
      <c r="Q83" s="19">
        <v>98.252</v>
      </c>
      <c r="R83" s="19">
        <v>98.4396</v>
      </c>
      <c r="S83" s="19">
        <v>98.2045</v>
      </c>
      <c r="T83" s="19">
        <v>100.7019</v>
      </c>
      <c r="U83" s="19">
        <v>99.2833</v>
      </c>
      <c r="V83" s="19">
        <v>99.5086</v>
      </c>
      <c r="W83" s="19">
        <v>93.6901</v>
      </c>
      <c r="X83" s="19">
        <v>95.8337</v>
      </c>
      <c r="Y83" s="19">
        <v>95.0682</v>
      </c>
      <c r="Z83" s="19">
        <v>94.8482</v>
      </c>
      <c r="AA83" s="19">
        <v>92.8647</v>
      </c>
      <c r="AB83" s="21">
        <f>MAX(D83:AA83)</f>
        <v>100.7019</v>
      </c>
    </row>
    <row r="84" s="1" customFormat="1" ht="20" hidden="1" customHeight="1" spans="1:27">
      <c r="A84" s="15"/>
      <c r="B84" s="16"/>
      <c r="C84" s="17" t="s">
        <v>39</v>
      </c>
      <c r="D84" s="19">
        <f t="shared" ref="D84:AA84" si="26">D82-D83</f>
        <v>-3.7931</v>
      </c>
      <c r="E84" s="19">
        <f t="shared" si="26"/>
        <v>-1.35770000000001</v>
      </c>
      <c r="F84" s="19">
        <f t="shared" si="26"/>
        <v>-0.657600000000002</v>
      </c>
      <c r="G84" s="19">
        <f t="shared" si="26"/>
        <v>0.322000000000003</v>
      </c>
      <c r="H84" s="19">
        <f t="shared" si="26"/>
        <v>-0.322200000000009</v>
      </c>
      <c r="I84" s="19">
        <f t="shared" si="26"/>
        <v>2.78409999999999</v>
      </c>
      <c r="J84" s="19">
        <f t="shared" si="26"/>
        <v>1.012</v>
      </c>
      <c r="K84" s="19">
        <f t="shared" si="26"/>
        <v>-3.8648</v>
      </c>
      <c r="L84" s="19">
        <f t="shared" si="26"/>
        <v>3.23739999999999</v>
      </c>
      <c r="M84" s="19">
        <f t="shared" si="26"/>
        <v>-0.13730000000001</v>
      </c>
      <c r="N84" s="19">
        <f t="shared" si="26"/>
        <v>7.3189</v>
      </c>
      <c r="O84" s="19">
        <f t="shared" si="26"/>
        <v>3.90470000000001</v>
      </c>
      <c r="P84" s="19">
        <f t="shared" si="26"/>
        <v>4.69250000000001</v>
      </c>
      <c r="Q84" s="19">
        <f t="shared" si="26"/>
        <v>1.458</v>
      </c>
      <c r="R84" s="19">
        <f t="shared" si="26"/>
        <v>1.8904</v>
      </c>
      <c r="S84" s="19">
        <f t="shared" si="26"/>
        <v>2.63550000000001</v>
      </c>
      <c r="T84" s="19">
        <f t="shared" si="26"/>
        <v>-0.991900000000001</v>
      </c>
      <c r="U84" s="19">
        <f t="shared" si="26"/>
        <v>0.236699999999999</v>
      </c>
      <c r="V84" s="19">
        <f t="shared" si="26"/>
        <v>-2.8986</v>
      </c>
      <c r="W84" s="19">
        <f t="shared" si="26"/>
        <v>-1.2101</v>
      </c>
      <c r="X84" s="19">
        <f t="shared" si="26"/>
        <v>2.7463</v>
      </c>
      <c r="Y84" s="19">
        <f t="shared" si="26"/>
        <v>3.5818</v>
      </c>
      <c r="Z84" s="19">
        <f t="shared" si="26"/>
        <v>1.6918</v>
      </c>
      <c r="AA84" s="19">
        <f t="shared" si="26"/>
        <v>-1.24469999999999</v>
      </c>
    </row>
    <row r="85" s="1" customFormat="1" ht="20" hidden="1" customHeight="1" spans="1:27">
      <c r="A85" s="15">
        <v>46109</v>
      </c>
      <c r="B85" s="16">
        <v>4303121811816</v>
      </c>
      <c r="C85" s="17" t="s">
        <v>37</v>
      </c>
      <c r="D85" s="20">
        <v>90.21</v>
      </c>
      <c r="E85" s="20">
        <v>94.28</v>
      </c>
      <c r="F85" s="20">
        <v>95.32</v>
      </c>
      <c r="G85" s="20">
        <v>96.24</v>
      </c>
      <c r="H85" s="20">
        <v>94.35</v>
      </c>
      <c r="I85" s="20">
        <v>95.58</v>
      </c>
      <c r="J85" s="20">
        <v>93.62</v>
      </c>
      <c r="K85" s="20">
        <v>91.41</v>
      </c>
      <c r="L85" s="20">
        <v>99.58</v>
      </c>
      <c r="M85" s="20">
        <v>99.62</v>
      </c>
      <c r="N85" s="20">
        <v>99.75</v>
      </c>
      <c r="O85" s="20">
        <v>94.41</v>
      </c>
      <c r="P85" s="20">
        <v>93.58</v>
      </c>
      <c r="Q85" s="20">
        <v>99.86</v>
      </c>
      <c r="R85" s="20">
        <v>99.95</v>
      </c>
      <c r="S85" s="20">
        <v>100.25</v>
      </c>
      <c r="T85" s="20">
        <v>99.84</v>
      </c>
      <c r="U85" s="20">
        <v>99.62</v>
      </c>
      <c r="V85" s="20">
        <v>96.58</v>
      </c>
      <c r="W85" s="20">
        <v>92.33</v>
      </c>
      <c r="X85" s="20">
        <v>98.62</v>
      </c>
      <c r="Y85" s="20">
        <v>98.76</v>
      </c>
      <c r="Z85" s="20">
        <v>96.48</v>
      </c>
      <c r="AA85" s="20">
        <v>91.41</v>
      </c>
    </row>
    <row r="86" s="1" customFormat="1" ht="20" customHeight="1" spans="1:28">
      <c r="A86" s="15"/>
      <c r="B86" s="16"/>
      <c r="C86" s="17" t="s">
        <v>38</v>
      </c>
      <c r="D86" s="20">
        <v>91.8932</v>
      </c>
      <c r="E86" s="20">
        <v>95.5979</v>
      </c>
      <c r="F86" s="20">
        <v>95.9481</v>
      </c>
      <c r="G86" s="20">
        <v>94.6616</v>
      </c>
      <c r="H86" s="20">
        <v>94.2219</v>
      </c>
      <c r="I86" s="20">
        <v>94.5402</v>
      </c>
      <c r="J86" s="20">
        <v>91.9088</v>
      </c>
      <c r="K86" s="20">
        <v>92.7223</v>
      </c>
      <c r="L86" s="20">
        <v>101.9111</v>
      </c>
      <c r="M86" s="20">
        <v>100.262</v>
      </c>
      <c r="N86" s="20">
        <v>101.4482</v>
      </c>
      <c r="O86" s="20">
        <v>95.3973</v>
      </c>
      <c r="P86" s="20">
        <v>95.186</v>
      </c>
      <c r="Q86" s="20">
        <v>98.7097</v>
      </c>
      <c r="R86" s="20">
        <v>101.0487</v>
      </c>
      <c r="S86" s="20">
        <v>99.8483</v>
      </c>
      <c r="T86" s="20">
        <v>99.6688</v>
      </c>
      <c r="U86" s="20">
        <v>99.102</v>
      </c>
      <c r="V86" s="20">
        <v>96.7595</v>
      </c>
      <c r="W86" s="20">
        <v>90.7772</v>
      </c>
      <c r="X86" s="20">
        <v>97.5867</v>
      </c>
      <c r="Y86" s="20">
        <v>97.7821</v>
      </c>
      <c r="Z86" s="20">
        <v>97.0939</v>
      </c>
      <c r="AA86" s="20">
        <v>93.6514</v>
      </c>
      <c r="AB86" s="21">
        <f>MAX(D86:AA86)</f>
        <v>101.9111</v>
      </c>
    </row>
    <row r="87" s="1" customFormat="1" ht="20" hidden="1" customHeight="1" spans="1:27">
      <c r="A87" s="15"/>
      <c r="B87" s="16"/>
      <c r="C87" s="17" t="s">
        <v>39</v>
      </c>
      <c r="D87" s="20">
        <f t="shared" ref="D87:AA87" si="27">D85-D86</f>
        <v>-1.6832</v>
      </c>
      <c r="E87" s="20">
        <f t="shared" si="27"/>
        <v>-1.31789999999999</v>
      </c>
      <c r="F87" s="20">
        <f t="shared" si="27"/>
        <v>-0.628100000000003</v>
      </c>
      <c r="G87" s="20">
        <f t="shared" si="27"/>
        <v>1.57839999999999</v>
      </c>
      <c r="H87" s="20">
        <f t="shared" si="27"/>
        <v>0.128099999999989</v>
      </c>
      <c r="I87" s="20">
        <f t="shared" si="27"/>
        <v>1.0398</v>
      </c>
      <c r="J87" s="20">
        <f t="shared" si="27"/>
        <v>1.71120000000001</v>
      </c>
      <c r="K87" s="20">
        <f t="shared" si="27"/>
        <v>-1.31230000000001</v>
      </c>
      <c r="L87" s="20">
        <f t="shared" si="27"/>
        <v>-2.33110000000001</v>
      </c>
      <c r="M87" s="20">
        <f t="shared" si="27"/>
        <v>-0.641999999999996</v>
      </c>
      <c r="N87" s="20">
        <f t="shared" si="27"/>
        <v>-1.6982</v>
      </c>
      <c r="O87" s="20">
        <f t="shared" si="27"/>
        <v>-0.987300000000005</v>
      </c>
      <c r="P87" s="20">
        <f t="shared" si="27"/>
        <v>-1.60600000000001</v>
      </c>
      <c r="Q87" s="20">
        <f t="shared" si="27"/>
        <v>1.1503</v>
      </c>
      <c r="R87" s="20">
        <f t="shared" si="27"/>
        <v>-1.09869999999999</v>
      </c>
      <c r="S87" s="20">
        <f t="shared" si="27"/>
        <v>0.401700000000005</v>
      </c>
      <c r="T87" s="20">
        <f t="shared" si="27"/>
        <v>0.171199999999999</v>
      </c>
      <c r="U87" s="20">
        <f t="shared" si="27"/>
        <v>0.518000000000001</v>
      </c>
      <c r="V87" s="20">
        <f t="shared" si="27"/>
        <v>-0.179500000000004</v>
      </c>
      <c r="W87" s="20">
        <f t="shared" si="27"/>
        <v>1.5528</v>
      </c>
      <c r="X87" s="20">
        <f t="shared" si="27"/>
        <v>1.03330000000001</v>
      </c>
      <c r="Y87" s="20">
        <f t="shared" si="27"/>
        <v>0.977900000000005</v>
      </c>
      <c r="Z87" s="20">
        <f t="shared" si="27"/>
        <v>-0.613900000000001</v>
      </c>
      <c r="AA87" s="20">
        <f t="shared" si="27"/>
        <v>-2.2414</v>
      </c>
    </row>
    <row r="88" s="1" customFormat="1" ht="20" hidden="1" customHeight="1" spans="1:27">
      <c r="A88" s="15">
        <v>46110</v>
      </c>
      <c r="B88" s="16">
        <v>4303121811816</v>
      </c>
      <c r="C88" s="17" t="s">
        <v>37</v>
      </c>
      <c r="D88" s="19">
        <v>90.12</v>
      </c>
      <c r="E88" s="19">
        <v>93.45</v>
      </c>
      <c r="F88" s="19">
        <v>94.51</v>
      </c>
      <c r="G88" s="19">
        <v>96.21</v>
      </c>
      <c r="H88" s="19">
        <v>93.58</v>
      </c>
      <c r="I88" s="19">
        <v>90.66</v>
      </c>
      <c r="J88" s="19">
        <v>84.68</v>
      </c>
      <c r="K88" s="19">
        <v>81.11</v>
      </c>
      <c r="L88" s="19">
        <v>83.38</v>
      </c>
      <c r="M88" s="19">
        <v>81.21</v>
      </c>
      <c r="N88" s="19">
        <v>81.76</v>
      </c>
      <c r="O88" s="19">
        <v>75.76</v>
      </c>
      <c r="P88" s="19">
        <v>78.22</v>
      </c>
      <c r="Q88" s="19">
        <v>81.58</v>
      </c>
      <c r="R88" s="19">
        <v>82.41</v>
      </c>
      <c r="S88" s="19">
        <v>82.58</v>
      </c>
      <c r="T88" s="19">
        <v>83.62</v>
      </c>
      <c r="U88" s="19">
        <v>82.75</v>
      </c>
      <c r="V88" s="19">
        <v>79.81</v>
      </c>
      <c r="W88" s="19">
        <v>80.11</v>
      </c>
      <c r="X88" s="19">
        <v>81.62</v>
      </c>
      <c r="Y88" s="19">
        <v>84.52</v>
      </c>
      <c r="Z88" s="19">
        <v>82.62</v>
      </c>
      <c r="AA88" s="19">
        <v>78.18</v>
      </c>
    </row>
    <row r="89" s="1" customFormat="1" ht="20" customHeight="1" spans="1:28">
      <c r="A89" s="15"/>
      <c r="B89" s="16"/>
      <c r="C89" s="17" t="s">
        <v>38</v>
      </c>
      <c r="D89" s="19">
        <v>90.6911</v>
      </c>
      <c r="E89" s="19">
        <v>95.7405</v>
      </c>
      <c r="F89" s="19">
        <v>95.3731</v>
      </c>
      <c r="G89" s="19">
        <v>95.8954</v>
      </c>
      <c r="H89" s="19">
        <v>95.7994</v>
      </c>
      <c r="I89" s="19">
        <v>92.1748</v>
      </c>
      <c r="J89" s="19">
        <v>86.5181</v>
      </c>
      <c r="K89" s="19">
        <v>80.542</v>
      </c>
      <c r="L89" s="19">
        <v>86.1344</v>
      </c>
      <c r="M89" s="19">
        <v>85.0643</v>
      </c>
      <c r="N89" s="19">
        <v>80.7012</v>
      </c>
      <c r="O89" s="19">
        <v>76.0567</v>
      </c>
      <c r="P89" s="19">
        <v>75.2559</v>
      </c>
      <c r="Q89" s="19">
        <v>80.9089</v>
      </c>
      <c r="R89" s="19">
        <v>83.5243</v>
      </c>
      <c r="S89" s="19">
        <v>83.0929</v>
      </c>
      <c r="T89" s="19">
        <v>83.4312</v>
      </c>
      <c r="U89" s="19">
        <v>82.7182</v>
      </c>
      <c r="V89" s="19">
        <v>80.902</v>
      </c>
      <c r="W89" s="19">
        <v>77.0018</v>
      </c>
      <c r="X89" s="19">
        <v>81.3382</v>
      </c>
      <c r="Y89" s="19">
        <v>83.1083</v>
      </c>
      <c r="Z89" s="19">
        <v>81.8752</v>
      </c>
      <c r="AA89" s="19">
        <v>78.76</v>
      </c>
      <c r="AB89" s="21">
        <f>MAX(D89:AA89)</f>
        <v>95.8954</v>
      </c>
    </row>
    <row r="90" s="1" customFormat="1" ht="20" hidden="1" customHeight="1" spans="1:27">
      <c r="A90" s="15"/>
      <c r="B90" s="16"/>
      <c r="C90" s="17" t="s">
        <v>39</v>
      </c>
      <c r="D90" s="19">
        <f t="shared" ref="D90:AA90" si="28">D88-D89</f>
        <v>-0.571100000000001</v>
      </c>
      <c r="E90" s="19">
        <f t="shared" si="28"/>
        <v>-2.29049999999999</v>
      </c>
      <c r="F90" s="19">
        <f t="shared" si="28"/>
        <v>-0.863099999999989</v>
      </c>
      <c r="G90" s="19">
        <f t="shared" si="28"/>
        <v>0.314599999999999</v>
      </c>
      <c r="H90" s="19">
        <f t="shared" si="28"/>
        <v>-2.21940000000001</v>
      </c>
      <c r="I90" s="19">
        <f t="shared" si="28"/>
        <v>-1.51480000000001</v>
      </c>
      <c r="J90" s="19">
        <f t="shared" si="28"/>
        <v>-1.8381</v>
      </c>
      <c r="K90" s="19">
        <f t="shared" si="28"/>
        <v>0.567999999999998</v>
      </c>
      <c r="L90" s="19">
        <f t="shared" si="28"/>
        <v>-2.7544</v>
      </c>
      <c r="M90" s="19">
        <f t="shared" si="28"/>
        <v>-3.85430000000001</v>
      </c>
      <c r="N90" s="19">
        <f t="shared" si="28"/>
        <v>1.05880000000001</v>
      </c>
      <c r="O90" s="19">
        <f t="shared" si="28"/>
        <v>-0.296700000000001</v>
      </c>
      <c r="P90" s="19">
        <f t="shared" si="28"/>
        <v>2.9641</v>
      </c>
      <c r="Q90" s="19">
        <f t="shared" si="28"/>
        <v>0.671099999999996</v>
      </c>
      <c r="R90" s="19">
        <f t="shared" si="28"/>
        <v>-1.1143</v>
      </c>
      <c r="S90" s="19">
        <f t="shared" si="28"/>
        <v>-0.512900000000002</v>
      </c>
      <c r="T90" s="19">
        <f t="shared" si="28"/>
        <v>0.188800000000001</v>
      </c>
      <c r="U90" s="19">
        <f t="shared" si="28"/>
        <v>0.031800000000004</v>
      </c>
      <c r="V90" s="19">
        <f t="shared" si="28"/>
        <v>-1.092</v>
      </c>
      <c r="W90" s="19">
        <f t="shared" si="28"/>
        <v>3.1082</v>
      </c>
      <c r="X90" s="19">
        <f t="shared" si="28"/>
        <v>0.281800000000004</v>
      </c>
      <c r="Y90" s="19">
        <f t="shared" si="28"/>
        <v>1.4117</v>
      </c>
      <c r="Z90" s="19">
        <f t="shared" si="28"/>
        <v>0.744799999999998</v>
      </c>
      <c r="AA90" s="19">
        <f t="shared" si="28"/>
        <v>-0.579999999999998</v>
      </c>
    </row>
    <row r="91" s="1" customFormat="1" ht="20" hidden="1" customHeight="1" spans="1:27">
      <c r="A91" s="15">
        <v>46111</v>
      </c>
      <c r="B91" s="16">
        <v>4303121811816</v>
      </c>
      <c r="C91" s="17" t="s">
        <v>37</v>
      </c>
      <c r="D91" s="20">
        <v>78.58</v>
      </c>
      <c r="E91" s="20">
        <v>83.33</v>
      </c>
      <c r="F91" s="20">
        <v>82.79</v>
      </c>
      <c r="G91" s="20">
        <v>82.51</v>
      </c>
      <c r="H91" s="20">
        <v>84.11</v>
      </c>
      <c r="I91" s="20">
        <v>83.68</v>
      </c>
      <c r="J91" s="20">
        <v>84.18</v>
      </c>
      <c r="K91" s="20">
        <v>87.68</v>
      </c>
      <c r="L91" s="20">
        <v>98.44</v>
      </c>
      <c r="M91" s="20">
        <v>100.21</v>
      </c>
      <c r="N91" s="20">
        <v>98.81</v>
      </c>
      <c r="O91" s="20">
        <v>96.51</v>
      </c>
      <c r="P91" s="20">
        <v>92.66</v>
      </c>
      <c r="Q91" s="20">
        <v>99.81</v>
      </c>
      <c r="R91" s="20">
        <v>100.58</v>
      </c>
      <c r="S91" s="20">
        <v>101.22</v>
      </c>
      <c r="T91" s="20">
        <v>100.22</v>
      </c>
      <c r="U91" s="20">
        <v>100.2989</v>
      </c>
      <c r="V91" s="20">
        <v>97.22</v>
      </c>
      <c r="W91" s="20">
        <v>92.61</v>
      </c>
      <c r="X91" s="20">
        <v>96.85</v>
      </c>
      <c r="Y91" s="20">
        <v>96.66</v>
      </c>
      <c r="Z91" s="20">
        <v>96.51</v>
      </c>
      <c r="AA91" s="20">
        <v>90.41</v>
      </c>
    </row>
    <row r="92" s="1" customFormat="1" ht="20" customHeight="1" spans="1:28">
      <c r="A92" s="15"/>
      <c r="B92" s="16"/>
      <c r="C92" s="17" t="s">
        <v>38</v>
      </c>
      <c r="D92" s="20">
        <v>78.2144</v>
      </c>
      <c r="E92" s="20">
        <v>82.3011</v>
      </c>
      <c r="F92" s="20">
        <v>82.1744</v>
      </c>
      <c r="G92" s="20">
        <v>82.4244</v>
      </c>
      <c r="H92" s="20">
        <v>84.7352</v>
      </c>
      <c r="I92" s="20">
        <v>85.9813</v>
      </c>
      <c r="J92" s="20">
        <v>84.5575</v>
      </c>
      <c r="K92" s="20">
        <v>99.447</v>
      </c>
      <c r="L92" s="20">
        <v>102.8479</v>
      </c>
      <c r="M92" s="20">
        <v>101.3695</v>
      </c>
      <c r="N92" s="20">
        <v>101.2021</v>
      </c>
      <c r="O92" s="20">
        <v>94.8499</v>
      </c>
      <c r="P92" s="20">
        <v>94.116</v>
      </c>
      <c r="Q92" s="20">
        <v>101.1367</v>
      </c>
      <c r="R92" s="20">
        <v>101.7403</v>
      </c>
      <c r="S92" s="20">
        <v>101.0644</v>
      </c>
      <c r="T92" s="20">
        <v>103.0973</v>
      </c>
      <c r="U92" s="20">
        <v>100.7529</v>
      </c>
      <c r="V92" s="20">
        <v>94.48</v>
      </c>
      <c r="W92" s="20">
        <v>93.9329</v>
      </c>
      <c r="X92" s="20">
        <v>98.9947</v>
      </c>
      <c r="Y92" s="20">
        <v>97.5287</v>
      </c>
      <c r="Z92" s="20">
        <v>98.0496</v>
      </c>
      <c r="AA92" s="20">
        <v>93.4208</v>
      </c>
      <c r="AB92" s="21">
        <f>MAX(D92:AA92)</f>
        <v>103.0973</v>
      </c>
    </row>
    <row r="93" s="1" customFormat="1" ht="20" hidden="1" customHeight="1" spans="1:27">
      <c r="A93" s="15"/>
      <c r="B93" s="16"/>
      <c r="C93" s="17" t="s">
        <v>39</v>
      </c>
      <c r="D93" s="20">
        <f t="shared" ref="D93:T93" si="29">D91-D92</f>
        <v>0.365600000000001</v>
      </c>
      <c r="E93" s="20">
        <f t="shared" si="29"/>
        <v>1.02889999999999</v>
      </c>
      <c r="F93" s="20">
        <f t="shared" si="29"/>
        <v>0.615600000000001</v>
      </c>
      <c r="G93" s="20">
        <f t="shared" si="29"/>
        <v>0.0855999999999995</v>
      </c>
      <c r="H93" s="20">
        <f t="shared" si="29"/>
        <v>-0.625200000000007</v>
      </c>
      <c r="I93" s="20">
        <f t="shared" si="29"/>
        <v>-2.3013</v>
      </c>
      <c r="J93" s="20">
        <f t="shared" si="29"/>
        <v>-0.377499999999998</v>
      </c>
      <c r="K93" s="20">
        <f t="shared" si="29"/>
        <v>-11.767</v>
      </c>
      <c r="L93" s="20">
        <f t="shared" si="29"/>
        <v>-4.4079</v>
      </c>
      <c r="M93" s="20">
        <f t="shared" si="29"/>
        <v>-1.15950000000001</v>
      </c>
      <c r="N93" s="20">
        <f t="shared" si="29"/>
        <v>-2.3921</v>
      </c>
      <c r="O93" s="20">
        <f t="shared" si="29"/>
        <v>1.6601</v>
      </c>
      <c r="P93" s="20">
        <f t="shared" si="29"/>
        <v>-1.456</v>
      </c>
      <c r="Q93" s="20">
        <f t="shared" si="29"/>
        <v>-1.3267</v>
      </c>
      <c r="R93" s="20">
        <f t="shared" si="29"/>
        <v>-1.16030000000001</v>
      </c>
      <c r="S93" s="20">
        <f t="shared" si="29"/>
        <v>0.155599999999993</v>
      </c>
      <c r="T93" s="20">
        <f t="shared" si="29"/>
        <v>-2.87730000000001</v>
      </c>
      <c r="U93" s="20">
        <f t="shared" ref="U93:AA93" si="30">U91-U92</f>
        <v>-0.453999999999994</v>
      </c>
      <c r="V93" s="20">
        <f t="shared" si="30"/>
        <v>2.73999999999999</v>
      </c>
      <c r="W93" s="20">
        <f t="shared" si="30"/>
        <v>-1.3229</v>
      </c>
      <c r="X93" s="20">
        <f t="shared" si="30"/>
        <v>-2.1447</v>
      </c>
      <c r="Y93" s="20">
        <f t="shared" si="30"/>
        <v>-0.868700000000004</v>
      </c>
      <c r="Z93" s="20">
        <f t="shared" si="30"/>
        <v>-1.53959999999999</v>
      </c>
      <c r="AA93" s="20">
        <f t="shared" si="30"/>
        <v>-3.0108</v>
      </c>
    </row>
    <row r="94" s="1" customFormat="1" ht="20" hidden="1" customHeight="1" spans="1:27">
      <c r="A94" s="15">
        <v>46112</v>
      </c>
      <c r="B94" s="16">
        <v>4303121811816</v>
      </c>
      <c r="C94" s="17" t="s">
        <v>37</v>
      </c>
      <c r="D94" s="20">
        <v>90.22</v>
      </c>
      <c r="E94" s="20">
        <v>94.22</v>
      </c>
      <c r="F94" s="20">
        <v>95.28</v>
      </c>
      <c r="G94" s="20">
        <v>96.33</v>
      </c>
      <c r="H94" s="20">
        <v>94.42</v>
      </c>
      <c r="I94" s="20">
        <v>95.62</v>
      </c>
      <c r="J94" s="20">
        <v>93.58</v>
      </c>
      <c r="K94" s="20">
        <v>91.32</v>
      </c>
      <c r="L94" s="20">
        <v>99.61</v>
      </c>
      <c r="M94" s="20">
        <v>99.58</v>
      </c>
      <c r="N94" s="20">
        <v>99.62</v>
      </c>
      <c r="O94" s="20">
        <v>94.38</v>
      </c>
      <c r="P94" s="20">
        <v>93.62</v>
      </c>
      <c r="Q94" s="20">
        <v>99.79</v>
      </c>
      <c r="R94" s="20">
        <v>99.81</v>
      </c>
      <c r="S94" s="20">
        <v>100.65</v>
      </c>
      <c r="T94" s="20">
        <v>100.58</v>
      </c>
      <c r="U94" s="20">
        <v>99.75</v>
      </c>
      <c r="V94" s="20">
        <v>96.62</v>
      </c>
      <c r="W94" s="20">
        <v>92.41</v>
      </c>
      <c r="X94" s="20">
        <v>98.58</v>
      </c>
      <c r="Y94" s="20">
        <v>98.77</v>
      </c>
      <c r="Z94" s="20">
        <v>96.51</v>
      </c>
      <c r="AA94" s="20">
        <v>91.22</v>
      </c>
    </row>
    <row r="95" s="1" customFormat="1" ht="20" customHeight="1" spans="1:28">
      <c r="A95" s="15"/>
      <c r="B95" s="16"/>
      <c r="C95" s="17" t="s">
        <v>38</v>
      </c>
      <c r="D95" s="20">
        <v>92.5496</v>
      </c>
      <c r="E95" s="20">
        <v>96.3212</v>
      </c>
      <c r="F95" s="20">
        <v>97.8736</v>
      </c>
      <c r="G95" s="20">
        <v>96.8933</v>
      </c>
      <c r="H95" s="20">
        <v>97.159</v>
      </c>
      <c r="I95" s="20">
        <v>95.9024</v>
      </c>
      <c r="J95" s="20">
        <v>93.0336</v>
      </c>
      <c r="K95" s="20">
        <v>95.1368</v>
      </c>
      <c r="L95" s="20">
        <v>102.2736</v>
      </c>
      <c r="M95" s="20">
        <v>102.9125</v>
      </c>
      <c r="N95" s="20">
        <v>102.2472</v>
      </c>
      <c r="O95" s="20">
        <v>96.6873</v>
      </c>
      <c r="P95" s="20">
        <v>92.9192</v>
      </c>
      <c r="Q95" s="20">
        <v>98.4949</v>
      </c>
      <c r="R95" s="20">
        <v>103.3788</v>
      </c>
      <c r="S95" s="20">
        <v>101.9058</v>
      </c>
      <c r="T95" s="20">
        <v>102.2472</v>
      </c>
      <c r="U95" s="20">
        <v>101.1068</v>
      </c>
      <c r="V95" s="20">
        <v>98.3687</v>
      </c>
      <c r="W95" s="20">
        <v>95.3727</v>
      </c>
      <c r="X95" s="20">
        <v>96.8986</v>
      </c>
      <c r="Y95" s="20">
        <v>96.4146</v>
      </c>
      <c r="Z95" s="20">
        <v>96.9655</v>
      </c>
      <c r="AA95" s="20">
        <v>92.4546</v>
      </c>
      <c r="AB95" s="21">
        <f>MAX(D95:AA95)</f>
        <v>103.3788</v>
      </c>
    </row>
    <row r="96" s="1" customFormat="1" ht="20" hidden="1" customHeight="1" spans="1:27">
      <c r="A96" s="15"/>
      <c r="B96" s="16"/>
      <c r="C96" s="17" t="s">
        <v>39</v>
      </c>
      <c r="D96" s="20">
        <f t="shared" ref="D96:AA96" si="31">D94-D95</f>
        <v>-2.3296</v>
      </c>
      <c r="E96" s="20">
        <f t="shared" si="31"/>
        <v>-2.10120000000001</v>
      </c>
      <c r="F96" s="20">
        <f t="shared" si="31"/>
        <v>-2.59359999999999</v>
      </c>
      <c r="G96" s="20">
        <f t="shared" si="31"/>
        <v>-0.563299999999998</v>
      </c>
      <c r="H96" s="20">
        <f t="shared" si="31"/>
        <v>-2.739</v>
      </c>
      <c r="I96" s="20">
        <f t="shared" si="31"/>
        <v>-0.282399999999996</v>
      </c>
      <c r="J96" s="20">
        <f t="shared" si="31"/>
        <v>0.546399999999991</v>
      </c>
      <c r="K96" s="20">
        <f t="shared" si="31"/>
        <v>-3.8168</v>
      </c>
      <c r="L96" s="20">
        <f t="shared" si="31"/>
        <v>-2.6636</v>
      </c>
      <c r="M96" s="20">
        <f t="shared" si="31"/>
        <v>-3.3325</v>
      </c>
      <c r="N96" s="20">
        <f t="shared" si="31"/>
        <v>-2.6272</v>
      </c>
      <c r="O96" s="20">
        <f t="shared" si="31"/>
        <v>-2.3073</v>
      </c>
      <c r="P96" s="20">
        <f t="shared" si="31"/>
        <v>0.700800000000001</v>
      </c>
      <c r="Q96" s="20">
        <f t="shared" si="31"/>
        <v>1.29510000000001</v>
      </c>
      <c r="R96" s="20">
        <f t="shared" si="31"/>
        <v>-3.5688</v>
      </c>
      <c r="S96" s="20">
        <f t="shared" si="31"/>
        <v>-1.25579999999999</v>
      </c>
      <c r="T96" s="20">
        <f t="shared" si="31"/>
        <v>-1.66720000000001</v>
      </c>
      <c r="U96" s="20">
        <f t="shared" si="31"/>
        <v>-1.35680000000001</v>
      </c>
      <c r="V96" s="20">
        <f t="shared" si="31"/>
        <v>-1.7487</v>
      </c>
      <c r="W96" s="20">
        <f t="shared" si="31"/>
        <v>-2.9627</v>
      </c>
      <c r="X96" s="20">
        <f t="shared" si="31"/>
        <v>1.6814</v>
      </c>
      <c r="Y96" s="20">
        <f t="shared" si="31"/>
        <v>2.3554</v>
      </c>
      <c r="Z96" s="20">
        <f t="shared" si="31"/>
        <v>-0.455500000000001</v>
      </c>
      <c r="AA96" s="20">
        <f t="shared" si="31"/>
        <v>-1.2346</v>
      </c>
    </row>
    <row r="97" s="1" customFormat="1" ht="20" customHeight="1" spans="1:28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1"/>
    </row>
    <row r="98" s="1" customFormat="1" ht="20" customHeight="1" spans="1:28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1"/>
    </row>
    <row r="99" s="1" customFormat="1" ht="20" customHeight="1" spans="1:28">
      <c r="A99" s="26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1"/>
    </row>
    <row r="100" s="1" customFormat="1" ht="20" customHeight="1" spans="1:28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1"/>
    </row>
    <row r="101" s="1" customFormat="1" ht="20" customHeight="1" spans="1:28">
      <c r="A101" s="26"/>
      <c r="B101" s="26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1"/>
    </row>
    <row r="102" s="1" customFormat="1" ht="20" customHeight="1" spans="1:28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1"/>
    </row>
    <row r="103" s="1" customFormat="1" ht="20" customHeight="1" spans="1:28">
      <c r="A103" s="26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1"/>
    </row>
    <row r="104" s="1" customFormat="1" ht="20" customHeight="1" spans="1:28">
      <c r="A104" s="26"/>
      <c r="B104" s="28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1"/>
    </row>
    <row r="105" s="1" customFormat="1" ht="14.25" spans="1:28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1"/>
    </row>
    <row r="106" s="1" customFormat="1" ht="14.25" spans="1:28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1"/>
    </row>
    <row r="107" s="1" customFormat="1" ht="20" customHeight="1" spans="1:28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1"/>
    </row>
    <row r="108" s="1" customFormat="1" ht="20" customHeight="1" spans="1:28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1"/>
    </row>
    <row r="109" s="1" customFormat="1" ht="20" customHeight="1" spans="1:28">
      <c r="A109" s="26"/>
      <c r="B109" s="26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1"/>
    </row>
    <row r="110" s="1" customFormat="1" ht="20" customHeight="1" spans="1:28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1"/>
    </row>
    <row r="111" s="1" customFormat="1" ht="20" customHeight="1" spans="1:28">
      <c r="A111" s="26"/>
      <c r="B111" s="26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1"/>
    </row>
    <row r="112" s="1" customFormat="1" ht="20" customHeight="1" spans="1:28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1"/>
    </row>
    <row r="113" s="1" customFormat="1" ht="20" customHeight="1" spans="1:28">
      <c r="A113" s="26"/>
      <c r="B113" s="26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1"/>
    </row>
    <row r="114" s="1" customFormat="1" ht="20" customHeight="1" spans="1:28">
      <c r="A114" s="26"/>
      <c r="B114" s="28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1"/>
    </row>
    <row r="115" s="1" customFormat="1" ht="14.25" spans="1:28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1"/>
    </row>
    <row r="116" s="1" customFormat="1" ht="14.25" spans="1:28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1"/>
    </row>
    <row r="117" s="1" customFormat="1" ht="20" customHeight="1" spans="1:28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1"/>
    </row>
    <row r="118" s="1" customFormat="1" ht="20" customHeight="1" spans="1:28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1"/>
    </row>
    <row r="119" s="1" customFormat="1" ht="20" customHeight="1" spans="1:28">
      <c r="A119" s="26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1"/>
    </row>
    <row r="120" s="1" customFormat="1" ht="20" customHeight="1" spans="1:28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1"/>
    </row>
    <row r="121" s="1" customFormat="1" ht="20" customHeight="1" spans="1:28">
      <c r="A121" s="26"/>
      <c r="B121" s="26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1"/>
    </row>
    <row r="122" s="1" customFormat="1" ht="20" customHeight="1" spans="1:28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1"/>
    </row>
    <row r="123" s="1" customFormat="1" ht="20" customHeight="1" spans="1:28">
      <c r="A123" s="26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1"/>
    </row>
    <row r="124" s="1" customFormat="1" ht="20" customHeight="1" spans="1:28">
      <c r="A124" s="26"/>
      <c r="B124" s="28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1"/>
    </row>
    <row r="125" s="1" customFormat="1" ht="14.25" spans="1:28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1"/>
    </row>
    <row r="126" s="1" customFormat="1" ht="14.25" spans="1:28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1"/>
    </row>
    <row r="127" s="1" customFormat="1" ht="20" customHeight="1" spans="1:28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1"/>
    </row>
    <row r="128" s="1" customFormat="1" ht="20" customHeight="1" spans="1:28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1"/>
    </row>
    <row r="129" s="1" customFormat="1" ht="20" customHeight="1" spans="1:28">
      <c r="A129" s="26"/>
      <c r="B129" s="26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1"/>
    </row>
    <row r="130" s="1" customFormat="1" ht="20" customHeight="1" spans="1:28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1"/>
    </row>
    <row r="131" s="1" customFormat="1" ht="20" customHeight="1" spans="1:28">
      <c r="A131" s="26"/>
      <c r="B131" s="26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1"/>
    </row>
    <row r="132" s="1" customFormat="1" ht="20" customHeight="1" spans="1:28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1"/>
    </row>
    <row r="133" s="1" customFormat="1" ht="20" customHeight="1" spans="1:28">
      <c r="A133" s="26"/>
      <c r="B133" s="26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1"/>
    </row>
    <row r="134" s="1" customFormat="1" ht="20" customHeight="1" spans="1:28">
      <c r="A134" s="26"/>
      <c r="B134" s="28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1"/>
    </row>
    <row r="135" s="1" customFormat="1" ht="14.25" spans="1:28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1"/>
    </row>
    <row r="136" s="1" customFormat="1" ht="14.25" spans="1:28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1"/>
    </row>
    <row r="137" s="1" customFormat="1" ht="20" customHeight="1" spans="1:28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1"/>
    </row>
    <row r="138" s="1" customFormat="1" ht="20" customHeight="1" spans="1:28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1"/>
    </row>
    <row r="139" s="1" customFormat="1" ht="20" customHeight="1" spans="1:28">
      <c r="A139" s="26"/>
      <c r="B139" s="26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1"/>
    </row>
    <row r="140" s="1" customFormat="1" ht="20" customHeight="1" spans="1:28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1"/>
    </row>
    <row r="141" s="1" customFormat="1" ht="20" customHeight="1" spans="1:28">
      <c r="A141" s="26"/>
      <c r="B141" s="26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1"/>
    </row>
    <row r="142" s="1" customFormat="1" ht="20" customHeight="1" spans="1:28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1"/>
    </row>
    <row r="143" s="1" customFormat="1" ht="20" customHeight="1" spans="1:28">
      <c r="A143" s="26"/>
      <c r="B143" s="26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1"/>
    </row>
    <row r="144" s="1" customFormat="1" ht="20" customHeight="1" spans="1:28">
      <c r="A144" s="26"/>
      <c r="B144" s="28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1"/>
    </row>
    <row r="145" s="1" customFormat="1" ht="14.25" spans="1:28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1"/>
    </row>
    <row r="146" s="1" customFormat="1" ht="14.25" spans="1:28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1"/>
    </row>
    <row r="147" s="1" customFormat="1" ht="20" customHeight="1" spans="1:28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1"/>
    </row>
    <row r="148" s="1" customFormat="1" ht="20" customHeight="1" spans="1:28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1"/>
    </row>
    <row r="149" s="1" customFormat="1" ht="20" customHeight="1" spans="1:28">
      <c r="A149" s="26"/>
      <c r="B149" s="26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1"/>
    </row>
    <row r="150" s="1" customFormat="1" ht="20" customHeight="1" spans="1:28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1"/>
    </row>
    <row r="151" s="1" customFormat="1" ht="20" customHeight="1" spans="1:28">
      <c r="A151" s="26"/>
      <c r="B151" s="26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1"/>
    </row>
    <row r="152" s="1" customFormat="1" ht="20" customHeight="1" spans="1:28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1"/>
    </row>
    <row r="153" s="1" customFormat="1" ht="20" customHeight="1" spans="1:28">
      <c r="A153" s="26"/>
      <c r="B153" s="26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1"/>
    </row>
    <row r="154" s="1" customFormat="1" ht="20" customHeight="1" spans="1:28">
      <c r="A154" s="26"/>
      <c r="B154" s="28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1"/>
    </row>
    <row r="155" s="1" customFormat="1" ht="14.25" spans="1:28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1"/>
    </row>
    <row r="156" s="1" customFormat="1" ht="14.25" spans="1:28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1"/>
    </row>
    <row r="157" s="1" customFormat="1" ht="20" customHeight="1" spans="1:28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1"/>
    </row>
    <row r="158" s="1" customFormat="1" ht="20" customHeight="1" spans="1:28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1"/>
    </row>
    <row r="159" s="1" customFormat="1" ht="20" customHeight="1" spans="1:28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1"/>
    </row>
    <row r="160" s="1" customFormat="1" ht="20" customHeight="1" spans="1:28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1"/>
    </row>
    <row r="161" s="1" customFormat="1" ht="20" customHeight="1" spans="1:28">
      <c r="A161" s="26"/>
      <c r="B161" s="26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1"/>
    </row>
    <row r="162" s="1" customFormat="1" ht="20" customHeight="1" spans="1:28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1"/>
    </row>
    <row r="163" s="1" customFormat="1" ht="20" customHeight="1" spans="1:28">
      <c r="A163" s="26"/>
      <c r="B163" s="26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1"/>
    </row>
    <row r="164" s="1" customFormat="1" ht="20" customHeight="1" spans="1:28">
      <c r="A164" s="26"/>
      <c r="B164" s="28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1"/>
    </row>
    <row r="165" s="1" customFormat="1" ht="14.25" spans="1:28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1"/>
    </row>
    <row r="166" s="1" customFormat="1" ht="14.25" spans="1:28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1"/>
    </row>
    <row r="167" s="1" customFormat="1" ht="20" customHeight="1" spans="1:28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1"/>
    </row>
    <row r="168" s="1" customFormat="1" ht="20" customHeight="1" spans="1:28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1"/>
    </row>
    <row r="169" s="1" customFormat="1" ht="20" customHeight="1" spans="1:28">
      <c r="A169" s="26"/>
      <c r="B169" s="26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1"/>
    </row>
    <row r="170" s="1" customFormat="1" ht="20" customHeight="1" spans="1:28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1"/>
    </row>
    <row r="171" s="1" customFormat="1" ht="20" customHeight="1" spans="1:28">
      <c r="A171" s="26"/>
      <c r="B171" s="26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1"/>
    </row>
    <row r="172" s="1" customFormat="1" ht="20" customHeight="1" spans="1:28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1"/>
    </row>
    <row r="173" s="1" customFormat="1" ht="20" customHeight="1" spans="1:28">
      <c r="A173" s="26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1"/>
    </row>
    <row r="174" s="1" customFormat="1" ht="20" customHeight="1" spans="1:28">
      <c r="A174" s="26"/>
      <c r="B174" s="28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1"/>
    </row>
    <row r="175" s="1" customFormat="1" ht="14.25" spans="1:28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1"/>
    </row>
    <row r="176" s="1" customFormat="1" ht="14.25" spans="1:28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1"/>
    </row>
    <row r="177" s="1" customFormat="1" ht="20" customHeight="1" spans="1:28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1"/>
    </row>
    <row r="178" s="1" customFormat="1" ht="20" customHeight="1" spans="1:28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1"/>
    </row>
    <row r="179" s="1" customFormat="1" ht="20" customHeight="1" spans="1:28">
      <c r="A179" s="26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1"/>
    </row>
    <row r="180" s="1" customFormat="1" ht="20" customHeight="1" spans="1:28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1"/>
    </row>
    <row r="181" s="1" customFormat="1" ht="20" customHeight="1" spans="1:28">
      <c r="A181" s="26"/>
      <c r="B181" s="26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1"/>
    </row>
    <row r="182" s="1" customFormat="1" ht="20" customHeight="1" spans="1:28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1"/>
    </row>
    <row r="183" s="1" customFormat="1" ht="20" customHeight="1" spans="1:28">
      <c r="A183" s="26"/>
      <c r="B183" s="26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1"/>
    </row>
    <row r="184" s="1" customFormat="1" ht="20" customHeight="1" spans="1:28">
      <c r="A184" s="26"/>
      <c r="B184" s="28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1"/>
    </row>
    <row r="185" s="1" customFormat="1" ht="14.25" spans="1:28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1"/>
    </row>
    <row r="186" s="1" customFormat="1" ht="14.25" spans="1:28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1"/>
    </row>
    <row r="187" s="1" customFormat="1" ht="20" customHeight="1" spans="1:28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1"/>
    </row>
    <row r="188" s="1" customFormat="1" ht="20" customHeight="1" spans="1:28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1"/>
    </row>
    <row r="189" s="1" customFormat="1" ht="20" customHeight="1" spans="1:28">
      <c r="A189" s="26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1"/>
    </row>
    <row r="190" s="1" customFormat="1" ht="20" customHeight="1" spans="1:28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1"/>
    </row>
    <row r="191" s="1" customFormat="1" ht="20" customHeight="1" spans="1:28">
      <c r="A191" s="26"/>
      <c r="B191" s="26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1"/>
    </row>
    <row r="192" s="1" customFormat="1" ht="20" customHeight="1" spans="1:28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1"/>
    </row>
    <row r="193" s="1" customFormat="1" ht="20" customHeight="1" spans="1:28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1"/>
    </row>
    <row r="194" s="1" customFormat="1" ht="20" customHeight="1" spans="1:28">
      <c r="A194" s="26"/>
      <c r="B194" s="28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1"/>
    </row>
    <row r="195" s="1" customFormat="1" ht="14.25" spans="1:28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1"/>
    </row>
    <row r="196" s="1" customFormat="1" ht="14.25" spans="1:28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1"/>
    </row>
    <row r="197" s="1" customFormat="1" ht="20" customHeight="1" spans="1:28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1"/>
    </row>
    <row r="198" s="1" customFormat="1" ht="20" customHeight="1" spans="1:28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1"/>
    </row>
    <row r="199" s="1" customFormat="1" ht="20" customHeight="1" spans="1:28">
      <c r="A199" s="26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1"/>
    </row>
    <row r="200" s="1" customFormat="1" ht="20" customHeight="1" spans="1:28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1"/>
    </row>
    <row r="201" s="1" customFormat="1" ht="20" customHeight="1" spans="1:28">
      <c r="A201" s="26"/>
      <c r="B201" s="26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1"/>
    </row>
    <row r="202" s="1" customFormat="1" ht="20" customHeight="1" spans="1:28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1"/>
    </row>
    <row r="203" s="1" customFormat="1" ht="20" customHeight="1" spans="1:28">
      <c r="A203" s="26"/>
      <c r="B203" s="26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1"/>
    </row>
    <row r="204" s="1" customFormat="1" ht="20" customHeight="1" spans="1:28">
      <c r="A204" s="26"/>
      <c r="B204" s="28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1"/>
    </row>
    <row r="205" s="1" customFormat="1" ht="14.25" spans="1:28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1"/>
    </row>
    <row r="206" s="1" customFormat="1" ht="14.25" spans="1:28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1"/>
    </row>
    <row r="207" s="1" customFormat="1" ht="20" customHeight="1" spans="1:28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1"/>
    </row>
    <row r="208" s="1" customFormat="1" ht="20" customHeight="1" spans="1:28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1"/>
    </row>
    <row r="209" s="1" customFormat="1" ht="20" customHeight="1" spans="1:28">
      <c r="A209" s="26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1"/>
    </row>
    <row r="210" s="1" customFormat="1" ht="20" customHeight="1" spans="1:28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1"/>
    </row>
    <row r="211" s="1" customFormat="1" ht="20" customHeight="1" spans="1:28">
      <c r="A211" s="26"/>
      <c r="B211" s="26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1"/>
    </row>
    <row r="212" s="1" customFormat="1" ht="20" customHeight="1" spans="1:28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1"/>
    </row>
    <row r="213" s="1" customFormat="1" ht="20" customHeight="1" spans="1:28">
      <c r="A213" s="26"/>
      <c r="B213" s="26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1"/>
    </row>
    <row r="214" s="1" customFormat="1" ht="20" customHeight="1" spans="1:28">
      <c r="A214" s="26"/>
      <c r="B214" s="28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1"/>
    </row>
    <row r="215" s="1" customFormat="1" ht="14.25" spans="1:28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1"/>
    </row>
    <row r="216" s="1" customFormat="1" ht="14.25" spans="1:28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1"/>
    </row>
    <row r="217" s="1" customFormat="1" ht="20" customHeight="1" spans="1:28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1"/>
    </row>
    <row r="218" s="1" customFormat="1" ht="20" customHeight="1" spans="1:28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1"/>
    </row>
    <row r="219" s="1" customFormat="1" ht="20" customHeight="1" spans="1:28">
      <c r="A219" s="26"/>
      <c r="B219" s="26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1"/>
    </row>
    <row r="220" s="1" customFormat="1" ht="20" customHeight="1" spans="1:28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1"/>
    </row>
    <row r="221" s="1" customFormat="1" ht="20" customHeight="1" spans="1:28">
      <c r="A221" s="26"/>
      <c r="B221" s="26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1"/>
    </row>
    <row r="222" s="1" customFormat="1" ht="20" customHeight="1" spans="1:28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1"/>
    </row>
    <row r="223" s="1" customFormat="1" ht="20" customHeight="1" spans="1:28">
      <c r="A223" s="26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1"/>
    </row>
    <row r="224" s="1" customFormat="1" ht="20" customHeight="1" spans="1:28">
      <c r="A224" s="26"/>
      <c r="B224" s="28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1"/>
    </row>
    <row r="225" s="1" customFormat="1" ht="14.25" spans="1:28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1"/>
    </row>
    <row r="226" s="1" customFormat="1" ht="14.25" spans="1:28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1"/>
    </row>
    <row r="227" s="1" customFormat="1" ht="20" customHeight="1" spans="1:28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1"/>
    </row>
    <row r="228" s="1" customFormat="1" ht="20" customHeight="1" spans="1:28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1"/>
    </row>
    <row r="229" s="1" customFormat="1" ht="20" customHeight="1" spans="1:28">
      <c r="A229" s="26"/>
      <c r="B229" s="26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1"/>
    </row>
    <row r="230" s="1" customFormat="1" ht="20" customHeight="1" spans="1:28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1"/>
    </row>
    <row r="231" s="1" customFormat="1" ht="20" customHeight="1" spans="1:28">
      <c r="A231" s="26"/>
      <c r="B231" s="26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1"/>
    </row>
    <row r="232" s="1" customFormat="1" ht="20" customHeight="1" spans="1:28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1"/>
    </row>
    <row r="233" s="1" customFormat="1" ht="20" customHeight="1" spans="1:28">
      <c r="A233" s="26"/>
      <c r="B233" s="26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1"/>
    </row>
    <row r="234" s="1" customFormat="1" ht="20" customHeight="1" spans="1:28">
      <c r="A234" s="26"/>
      <c r="B234" s="28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1"/>
    </row>
    <row r="235" s="1" customFormat="1" ht="14.25" spans="1:28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1"/>
    </row>
    <row r="236" s="1" customFormat="1" ht="14.25" spans="1:28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1"/>
    </row>
    <row r="237" s="1" customFormat="1" ht="20" customHeight="1" spans="1:28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1"/>
    </row>
    <row r="238" s="1" customFormat="1" ht="20" customHeight="1" spans="1:28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1"/>
    </row>
    <row r="239" s="1" customFormat="1" ht="20" customHeight="1" spans="1:28">
      <c r="A239" s="26"/>
      <c r="B239" s="26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1"/>
    </row>
    <row r="240" s="1" customFormat="1" ht="20" customHeight="1" spans="1:28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1"/>
    </row>
    <row r="241" s="1" customFormat="1" ht="20" customHeight="1" spans="1:28">
      <c r="A241" s="26"/>
      <c r="B241" s="26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1"/>
    </row>
    <row r="242" s="1" customFormat="1" ht="20" customHeight="1" spans="1:28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1"/>
    </row>
    <row r="243" s="1" customFormat="1" ht="20" customHeight="1" spans="1:28">
      <c r="A243" s="26"/>
      <c r="B243" s="26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1"/>
    </row>
    <row r="244" s="1" customFormat="1" ht="20" customHeight="1" spans="1:28">
      <c r="A244" s="26"/>
      <c r="B244" s="28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1"/>
    </row>
    <row r="245" s="1" customFormat="1" ht="14.25" spans="1:28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1"/>
    </row>
    <row r="246" s="1" customFormat="1" ht="14.25" spans="1:28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1"/>
    </row>
    <row r="247" s="1" customFormat="1" ht="20" customHeight="1" spans="1:28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1"/>
    </row>
    <row r="248" s="1" customFormat="1" ht="20" customHeight="1" spans="1:28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1"/>
    </row>
    <row r="249" s="1" customFormat="1" ht="20" customHeight="1" spans="1:28">
      <c r="A249" s="26"/>
      <c r="B249" s="26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1"/>
    </row>
    <row r="250" s="1" customFormat="1" ht="20" customHeight="1" spans="1:28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1"/>
    </row>
    <row r="251" s="1" customFormat="1" ht="20" customHeight="1" spans="1:28">
      <c r="A251" s="26"/>
      <c r="B251" s="26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1"/>
    </row>
    <row r="252" s="1" customFormat="1" ht="20" customHeight="1" spans="1:28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1"/>
    </row>
    <row r="253" s="1" customFormat="1" ht="20" customHeight="1" spans="1:28">
      <c r="A253" s="26"/>
      <c r="B253" s="26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1"/>
    </row>
    <row r="254" s="1" customFormat="1" ht="20" customHeight="1" spans="1:28">
      <c r="A254" s="26"/>
      <c r="B254" s="28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1"/>
    </row>
    <row r="255" s="1" customFormat="1" ht="14.25" spans="1:28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1"/>
    </row>
    <row r="256" s="1" customFormat="1" ht="14.25" spans="1:28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1"/>
    </row>
    <row r="257" s="1" customFormat="1" ht="20" customHeight="1" spans="1:28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1"/>
    </row>
    <row r="258" s="1" customFormat="1" ht="20" customHeight="1" spans="1:28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1"/>
    </row>
    <row r="259" s="1" customFormat="1" ht="20" customHeight="1" spans="1:28">
      <c r="A259" s="26"/>
      <c r="B259" s="26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1"/>
    </row>
    <row r="260" s="1" customFormat="1" ht="20" customHeight="1" spans="1:28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1"/>
    </row>
    <row r="261" s="1" customFormat="1" ht="20" customHeight="1" spans="1:28">
      <c r="A261" s="26"/>
      <c r="B261" s="26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1"/>
    </row>
    <row r="262" s="1" customFormat="1" ht="20" customHeight="1" spans="1:28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1"/>
    </row>
    <row r="263" s="1" customFormat="1" ht="20" customHeight="1" spans="1:28">
      <c r="A263" s="26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1"/>
    </row>
    <row r="264" s="1" customFormat="1" ht="20" customHeight="1" spans="1:28">
      <c r="A264" s="26"/>
      <c r="B264" s="28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1"/>
    </row>
    <row r="265" s="1" customFormat="1" ht="14.25" spans="1:28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1"/>
    </row>
    <row r="266" s="1" customFormat="1" ht="14.25" spans="1:28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1"/>
    </row>
    <row r="267" s="1" customFormat="1" ht="20" customHeight="1" spans="1:28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1"/>
    </row>
    <row r="268" s="1" customFormat="1" ht="20" customHeight="1" spans="1:28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1"/>
    </row>
    <row r="269" s="1" customFormat="1" ht="20" customHeight="1" spans="1:28">
      <c r="A269" s="26"/>
      <c r="B269" s="26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1"/>
    </row>
    <row r="270" s="1" customFormat="1" ht="20" customHeight="1" spans="1:28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1"/>
    </row>
    <row r="271" s="1" customFormat="1" ht="20" customHeight="1" spans="1:28">
      <c r="A271" s="26"/>
      <c r="B271" s="26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1"/>
    </row>
    <row r="272" s="1" customFormat="1" ht="20" customHeight="1" spans="1:28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1"/>
    </row>
    <row r="273" s="1" customFormat="1" ht="20" customHeight="1" spans="1:28">
      <c r="A273" s="26"/>
      <c r="B273" s="26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1"/>
    </row>
    <row r="274" s="1" customFormat="1" ht="20" customHeight="1" spans="1:28">
      <c r="A274" s="26"/>
      <c r="B274" s="28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1"/>
    </row>
    <row r="275" s="1" customFormat="1" ht="14.25" spans="1:28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1"/>
    </row>
    <row r="276" s="1" customFormat="1" ht="14.25" spans="1:28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1"/>
    </row>
    <row r="277" s="1" customFormat="1" ht="20" customHeight="1" spans="1:28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1"/>
    </row>
    <row r="278" s="1" customFormat="1" ht="20" customHeight="1" spans="1:28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1"/>
    </row>
    <row r="279" s="1" customFormat="1" ht="20" customHeight="1" spans="1:28">
      <c r="A279" s="26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1"/>
    </row>
    <row r="280" s="1" customFormat="1" ht="20" customHeight="1" spans="1:28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1"/>
    </row>
    <row r="281" s="1" customFormat="1" ht="20" customHeight="1" spans="1:28">
      <c r="A281" s="26"/>
      <c r="B281" s="26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1"/>
    </row>
    <row r="282" s="1" customFormat="1" ht="20" customHeight="1" spans="1:28">
      <c r="A282" s="26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1"/>
    </row>
    <row r="283" s="1" customFormat="1" ht="20" customHeight="1" spans="1:28">
      <c r="A283" s="26"/>
      <c r="B283" s="26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1"/>
    </row>
    <row r="284" s="1" customFormat="1" ht="20" customHeight="1" spans="1:28">
      <c r="A284" s="26"/>
      <c r="B284" s="28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1"/>
    </row>
    <row r="285" s="1" customFormat="1" ht="14.25" spans="1:28">
      <c r="A285" s="26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1"/>
    </row>
    <row r="286" s="1" customFormat="1" ht="14.25" spans="1:28">
      <c r="A286" s="26"/>
      <c r="B286" s="26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1"/>
    </row>
    <row r="287" s="1" customFormat="1" ht="20" customHeight="1" spans="1:28">
      <c r="A287" s="26"/>
      <c r="B287" s="26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1"/>
    </row>
    <row r="288" s="1" customFormat="1" ht="20" customHeight="1" spans="1:28">
      <c r="A288" s="26"/>
      <c r="B288" s="26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1"/>
    </row>
    <row r="289" s="1" customFormat="1" ht="20" customHeight="1" spans="1:28">
      <c r="A289" s="26"/>
      <c r="B289" s="26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1"/>
    </row>
    <row r="290" s="1" customFormat="1" ht="20" customHeight="1" spans="1:28">
      <c r="A290" s="26"/>
      <c r="B290" s="26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1"/>
    </row>
    <row r="291" s="1" customFormat="1" ht="20" customHeight="1" spans="1:28">
      <c r="A291" s="26"/>
      <c r="B291" s="26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1"/>
    </row>
    <row r="292" s="1" customFormat="1" ht="20" customHeight="1" spans="1:28">
      <c r="A292" s="26"/>
      <c r="B292" s="26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1"/>
    </row>
    <row r="293" s="1" customFormat="1" ht="20" customHeight="1" spans="1:28">
      <c r="A293" s="26"/>
      <c r="B293" s="26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1"/>
    </row>
    <row r="294" s="1" customFormat="1" ht="20" customHeight="1" spans="1:28">
      <c r="A294" s="26"/>
      <c r="B294" s="28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1"/>
    </row>
    <row r="295" s="1" customFormat="1" ht="14.25" spans="1:28">
      <c r="A295" s="26"/>
      <c r="B295" s="26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1"/>
    </row>
    <row r="296" s="1" customFormat="1" ht="14.25" spans="1:28">
      <c r="A296" s="26"/>
      <c r="B296" s="26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1"/>
    </row>
  </sheetData>
  <autoFilter ref="A3:XFD96">
    <filterColumn colId="2">
      <customFilters>
        <customFilter operator="equal" val="实际"/>
      </customFilters>
    </filterColumn>
  </autoFilter>
  <mergeCells count="63">
    <mergeCell ref="A1:AB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</mergeCells>
  <pageMargins left="0.75" right="0.75" top="1" bottom="1" header="0.511805555555556" footer="0.511805555555556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XFC293"/>
  <sheetViews>
    <sheetView zoomScale="80" zoomScaleNormal="80" workbookViewId="0">
      <pane xSplit="3" ySplit="3" topLeftCell="E77" activePane="bottomRight" state="frozen"/>
      <selection/>
      <selection pane="topRight"/>
      <selection pane="bottomLeft"/>
      <selection pane="bottomRight" activeCell="AC3" sqref="AC3"/>
    </sheetView>
  </sheetViews>
  <sheetFormatPr defaultColWidth="9" defaultRowHeight="13.5"/>
  <cols>
    <col min="1" max="1" width="11.375" style="3" customWidth="1"/>
    <col min="2" max="2" width="17.25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10.375" style="4"/>
    <col min="29" max="29" width="10.375" style="6"/>
    <col min="30" max="30" width="9" style="4"/>
    <col min="31" max="33" width="9.375" style="4"/>
    <col min="34" max="16384" width="9" style="4"/>
  </cols>
  <sheetData>
    <row r="1" customFormat="1" ht="70" customHeight="1" spans="1:16383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6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customFormat="1" ht="18.75" spans="1:16383">
      <c r="A2" s="3"/>
      <c r="B2" s="4"/>
      <c r="C2" s="4"/>
      <c r="D2" s="5"/>
      <c r="E2" s="9" t="s">
        <v>40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4"/>
      <c r="AC2" s="6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</row>
    <row r="3" s="1" customFormat="1" ht="20" customHeight="1" spans="1:29">
      <c r="A3" s="10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  <c r="AC3" s="21" t="s">
        <v>3</v>
      </c>
    </row>
    <row r="4" s="1" customFormat="1" ht="20" hidden="1" customHeight="1" spans="1:28">
      <c r="A4" s="15">
        <v>46113</v>
      </c>
      <c r="B4" s="16">
        <v>4303121811816</v>
      </c>
      <c r="C4" s="17" t="s">
        <v>37</v>
      </c>
      <c r="D4" s="18">
        <v>90.28</v>
      </c>
      <c r="E4" s="18">
        <v>94.33</v>
      </c>
      <c r="F4" s="18">
        <v>95.31</v>
      </c>
      <c r="G4" s="18">
        <v>96.28</v>
      </c>
      <c r="H4" s="18">
        <v>94.51</v>
      </c>
      <c r="I4" s="18">
        <v>95.58</v>
      </c>
      <c r="J4" s="18">
        <v>93.66</v>
      </c>
      <c r="K4" s="18">
        <v>91.28</v>
      </c>
      <c r="L4" s="18">
        <v>99.58</v>
      </c>
      <c r="M4" s="18">
        <v>99.62</v>
      </c>
      <c r="N4" s="18">
        <v>99.71</v>
      </c>
      <c r="O4" s="18">
        <v>94.28</v>
      </c>
      <c r="P4" s="18">
        <v>93.58</v>
      </c>
      <c r="Q4" s="18">
        <v>99.74</v>
      </c>
      <c r="R4" s="18">
        <v>99.77</v>
      </c>
      <c r="S4" s="18">
        <v>100.28</v>
      </c>
      <c r="T4" s="18">
        <v>100.85</v>
      </c>
      <c r="U4" s="18">
        <v>99.66</v>
      </c>
      <c r="V4" s="18">
        <v>96.54</v>
      </c>
      <c r="W4" s="18">
        <v>92.33</v>
      </c>
      <c r="X4" s="18">
        <v>98.71</v>
      </c>
      <c r="Y4" s="18">
        <v>98.66</v>
      </c>
      <c r="Z4" s="18">
        <v>96.41</v>
      </c>
      <c r="AA4" s="18">
        <v>91.33</v>
      </c>
      <c r="AB4" s="22">
        <f t="shared" ref="AB4:AB8" si="0">SUM(D4:AA4)</f>
        <v>2312.28</v>
      </c>
    </row>
    <row r="5" s="1" customFormat="1" ht="20" customHeight="1" spans="1:29">
      <c r="A5" s="15"/>
      <c r="B5" s="16"/>
      <c r="C5" s="17" t="s">
        <v>38</v>
      </c>
      <c r="D5" s="20">
        <v>91.2384</v>
      </c>
      <c r="E5" s="20">
        <v>96.404</v>
      </c>
      <c r="F5" s="20">
        <v>97.5146</v>
      </c>
      <c r="G5" s="20">
        <v>97.2629</v>
      </c>
      <c r="H5" s="20">
        <v>95.9408</v>
      </c>
      <c r="I5" s="20">
        <v>94.1688</v>
      </c>
      <c r="J5" s="20">
        <v>92.1319</v>
      </c>
      <c r="K5" s="20">
        <v>89.9129</v>
      </c>
      <c r="L5" s="20">
        <v>100.6668</v>
      </c>
      <c r="M5" s="20">
        <v>99.0511</v>
      </c>
      <c r="N5" s="20">
        <v>98.3189</v>
      </c>
      <c r="O5" s="20">
        <v>97.3088</v>
      </c>
      <c r="P5" s="20">
        <v>95.9341</v>
      </c>
      <c r="Q5" s="20">
        <v>100.1176</v>
      </c>
      <c r="R5" s="20">
        <v>100.8092</v>
      </c>
      <c r="S5" s="20">
        <v>96.5395</v>
      </c>
      <c r="T5" s="20">
        <v>99.5588</v>
      </c>
      <c r="U5" s="20">
        <v>98.5547</v>
      </c>
      <c r="V5" s="20">
        <v>96.3741</v>
      </c>
      <c r="W5" s="20">
        <v>97.1784</v>
      </c>
      <c r="X5" s="20">
        <v>98.6779</v>
      </c>
      <c r="Y5" s="20">
        <v>98.0567</v>
      </c>
      <c r="Z5" s="20">
        <v>95.6349</v>
      </c>
      <c r="AA5" s="20">
        <v>94.3501</v>
      </c>
      <c r="AB5" s="22">
        <f t="shared" si="0"/>
        <v>2321.7059</v>
      </c>
      <c r="AC5" s="21">
        <f>MAX(D5:AA5)</f>
        <v>100.8092</v>
      </c>
    </row>
    <row r="6" s="1" customFormat="1" ht="20" hidden="1" customHeight="1" spans="1:28">
      <c r="A6" s="15"/>
      <c r="B6" s="16"/>
      <c r="C6" s="17" t="s">
        <v>39</v>
      </c>
      <c r="D6" s="20">
        <f t="shared" ref="D6:AB6" si="1">D4-D5</f>
        <v>-0.958399999999997</v>
      </c>
      <c r="E6" s="20">
        <f t="shared" si="1"/>
        <v>-2.074</v>
      </c>
      <c r="F6" s="20">
        <f t="shared" si="1"/>
        <v>-2.2046</v>
      </c>
      <c r="G6" s="20">
        <f t="shared" si="1"/>
        <v>-0.982900000000001</v>
      </c>
      <c r="H6" s="20">
        <f t="shared" si="1"/>
        <v>-1.43079999999999</v>
      </c>
      <c r="I6" s="20">
        <f t="shared" si="1"/>
        <v>1.41119999999999</v>
      </c>
      <c r="J6" s="20">
        <f t="shared" si="1"/>
        <v>1.52809999999999</v>
      </c>
      <c r="K6" s="20">
        <f t="shared" si="1"/>
        <v>1.36710000000001</v>
      </c>
      <c r="L6" s="20">
        <f t="shared" si="1"/>
        <v>-1.0868</v>
      </c>
      <c r="M6" s="20">
        <f t="shared" si="1"/>
        <v>0.568899999999999</v>
      </c>
      <c r="N6" s="20">
        <f t="shared" si="1"/>
        <v>1.39109999999999</v>
      </c>
      <c r="O6" s="20">
        <f t="shared" si="1"/>
        <v>-3.0288</v>
      </c>
      <c r="P6" s="20">
        <f t="shared" si="1"/>
        <v>-2.3541</v>
      </c>
      <c r="Q6" s="20">
        <f t="shared" si="1"/>
        <v>-0.377600000000001</v>
      </c>
      <c r="R6" s="20">
        <f t="shared" si="1"/>
        <v>-1.03920000000001</v>
      </c>
      <c r="S6" s="20">
        <f t="shared" si="1"/>
        <v>3.7405</v>
      </c>
      <c r="T6" s="20">
        <f t="shared" si="1"/>
        <v>1.29119999999999</v>
      </c>
      <c r="U6" s="20">
        <f t="shared" si="1"/>
        <v>1.1053</v>
      </c>
      <c r="V6" s="20">
        <f t="shared" si="1"/>
        <v>0.165900000000008</v>
      </c>
      <c r="W6" s="20">
        <f t="shared" si="1"/>
        <v>-4.8484</v>
      </c>
      <c r="X6" s="20">
        <f t="shared" si="1"/>
        <v>0.0320999999999998</v>
      </c>
      <c r="Y6" s="20">
        <f t="shared" si="1"/>
        <v>0.60329999999999</v>
      </c>
      <c r="Z6" s="20">
        <f t="shared" si="1"/>
        <v>0.775099999999995</v>
      </c>
      <c r="AA6" s="20">
        <f t="shared" si="1"/>
        <v>-3.0201</v>
      </c>
      <c r="AB6" s="23">
        <f t="shared" si="1"/>
        <v>-9.42590000000018</v>
      </c>
    </row>
    <row r="7" s="1" customFormat="1" ht="20" hidden="1" customHeight="1" spans="1:28">
      <c r="A7" s="15">
        <v>46114</v>
      </c>
      <c r="B7" s="16">
        <v>4303121811816</v>
      </c>
      <c r="C7" s="17" t="s">
        <v>37</v>
      </c>
      <c r="D7" s="18">
        <v>90.23</v>
      </c>
      <c r="E7" s="18">
        <v>94.22</v>
      </c>
      <c r="F7" s="18">
        <v>95.28</v>
      </c>
      <c r="G7" s="18">
        <v>96.31</v>
      </c>
      <c r="H7" s="18">
        <v>94.41</v>
      </c>
      <c r="I7" s="18">
        <v>95.57</v>
      </c>
      <c r="J7" s="18">
        <v>93.71</v>
      </c>
      <c r="K7" s="18">
        <v>91.33</v>
      </c>
      <c r="L7" s="18">
        <v>99.62</v>
      </c>
      <c r="M7" s="18">
        <v>99.58</v>
      </c>
      <c r="N7" s="18">
        <v>99.72</v>
      </c>
      <c r="O7" s="18">
        <v>94.33</v>
      </c>
      <c r="P7" s="18">
        <v>93.62</v>
      </c>
      <c r="Q7" s="18">
        <v>99.81</v>
      </c>
      <c r="R7" s="18">
        <v>99.68</v>
      </c>
      <c r="S7" s="18">
        <v>100.32</v>
      </c>
      <c r="T7" s="18">
        <v>99.99</v>
      </c>
      <c r="U7" s="18">
        <v>99.84</v>
      </c>
      <c r="V7" s="18">
        <v>96.62</v>
      </c>
      <c r="W7" s="18">
        <v>92.41</v>
      </c>
      <c r="X7" s="18">
        <v>98.62</v>
      </c>
      <c r="Y7" s="18">
        <v>98.57</v>
      </c>
      <c r="Z7" s="18">
        <v>96.38</v>
      </c>
      <c r="AA7" s="18">
        <v>91.28</v>
      </c>
      <c r="AB7" s="22">
        <f t="shared" si="0"/>
        <v>2311.45</v>
      </c>
    </row>
    <row r="8" s="1" customFormat="1" ht="20" customHeight="1" spans="1:29">
      <c r="A8" s="15"/>
      <c r="B8" s="16"/>
      <c r="C8" s="17" t="s">
        <v>38</v>
      </c>
      <c r="D8" s="19">
        <v>92.2073</v>
      </c>
      <c r="E8" s="19">
        <v>95.8056</v>
      </c>
      <c r="F8" s="19">
        <v>96.717</v>
      </c>
      <c r="G8" s="19">
        <v>97.7662</v>
      </c>
      <c r="H8" s="19">
        <v>96.4787</v>
      </c>
      <c r="I8" s="19">
        <v>93.4349</v>
      </c>
      <c r="J8" s="19">
        <v>93.9365</v>
      </c>
      <c r="K8" s="19">
        <v>93.5352</v>
      </c>
      <c r="L8" s="19">
        <v>99.9223</v>
      </c>
      <c r="M8" s="19">
        <v>100.6949</v>
      </c>
      <c r="N8" s="19">
        <v>98.4615</v>
      </c>
      <c r="O8" s="19">
        <v>97.9141</v>
      </c>
      <c r="P8" s="19">
        <v>98.0034</v>
      </c>
      <c r="Q8" s="19">
        <v>98.8433</v>
      </c>
      <c r="R8" s="19">
        <v>100.5048</v>
      </c>
      <c r="S8" s="19">
        <v>102.7946</v>
      </c>
      <c r="T8" s="19">
        <v>101.8072</v>
      </c>
      <c r="U8" s="19">
        <v>102.4338</v>
      </c>
      <c r="V8" s="19">
        <v>97.5427</v>
      </c>
      <c r="W8" s="19">
        <v>93.8467</v>
      </c>
      <c r="X8" s="19">
        <v>99.1373</v>
      </c>
      <c r="Y8" s="19">
        <v>98.6075</v>
      </c>
      <c r="Z8" s="19">
        <v>97.3156</v>
      </c>
      <c r="AA8" s="19">
        <v>93.4701</v>
      </c>
      <c r="AB8" s="22">
        <f t="shared" si="0"/>
        <v>2341.1812</v>
      </c>
      <c r="AC8" s="21">
        <f>MAX(D8:AA8)</f>
        <v>102.7946</v>
      </c>
    </row>
    <row r="9" s="1" customFormat="1" ht="20" hidden="1" customHeight="1" spans="1:28">
      <c r="A9" s="15"/>
      <c r="B9" s="16"/>
      <c r="C9" s="17" t="s">
        <v>39</v>
      </c>
      <c r="D9" s="20">
        <f t="shared" ref="D9:AB9" si="2">D7-D8</f>
        <v>-1.9773</v>
      </c>
      <c r="E9" s="20">
        <f t="shared" si="2"/>
        <v>-1.5856</v>
      </c>
      <c r="F9" s="20">
        <f t="shared" si="2"/>
        <v>-1.437</v>
      </c>
      <c r="G9" s="20">
        <f t="shared" si="2"/>
        <v>-1.4562</v>
      </c>
      <c r="H9" s="20">
        <f t="shared" si="2"/>
        <v>-2.06870000000001</v>
      </c>
      <c r="I9" s="20">
        <f t="shared" si="2"/>
        <v>2.13509999999999</v>
      </c>
      <c r="J9" s="20">
        <f t="shared" si="2"/>
        <v>-0.226500000000001</v>
      </c>
      <c r="K9" s="20">
        <f t="shared" si="2"/>
        <v>-2.2052</v>
      </c>
      <c r="L9" s="20">
        <f t="shared" si="2"/>
        <v>-0.302300000000002</v>
      </c>
      <c r="M9" s="20">
        <f t="shared" si="2"/>
        <v>-1.11490000000001</v>
      </c>
      <c r="N9" s="20">
        <f t="shared" si="2"/>
        <v>1.2585</v>
      </c>
      <c r="O9" s="20">
        <f t="shared" si="2"/>
        <v>-3.58410000000001</v>
      </c>
      <c r="P9" s="20">
        <f t="shared" si="2"/>
        <v>-4.38339999999999</v>
      </c>
      <c r="Q9" s="20">
        <f t="shared" si="2"/>
        <v>0.966700000000003</v>
      </c>
      <c r="R9" s="20">
        <f t="shared" si="2"/>
        <v>-0.824799999999996</v>
      </c>
      <c r="S9" s="20">
        <f t="shared" si="2"/>
        <v>-2.47460000000001</v>
      </c>
      <c r="T9" s="20">
        <f t="shared" si="2"/>
        <v>-1.8172</v>
      </c>
      <c r="U9" s="20">
        <f t="shared" si="2"/>
        <v>-2.5938</v>
      </c>
      <c r="V9" s="20">
        <f t="shared" si="2"/>
        <v>-0.922699999999992</v>
      </c>
      <c r="W9" s="20">
        <f t="shared" si="2"/>
        <v>-1.4367</v>
      </c>
      <c r="X9" s="20">
        <f t="shared" si="2"/>
        <v>-0.517299999999992</v>
      </c>
      <c r="Y9" s="20">
        <f t="shared" si="2"/>
        <v>-0.0375000000000085</v>
      </c>
      <c r="Z9" s="20">
        <f t="shared" si="2"/>
        <v>-0.935600000000008</v>
      </c>
      <c r="AA9" s="20">
        <f t="shared" si="2"/>
        <v>-2.1901</v>
      </c>
      <c r="AB9" s="23">
        <f t="shared" si="2"/>
        <v>-29.7311999999993</v>
      </c>
    </row>
    <row r="10" s="1" customFormat="1" ht="20" hidden="1" customHeight="1" spans="1:28">
      <c r="A10" s="15">
        <v>46115</v>
      </c>
      <c r="B10" s="16">
        <v>4303121811816</v>
      </c>
      <c r="C10" s="17" t="s">
        <v>37</v>
      </c>
      <c r="D10" s="18">
        <v>90.18</v>
      </c>
      <c r="E10" s="18">
        <v>94.18</v>
      </c>
      <c r="F10" s="18">
        <v>95.33</v>
      </c>
      <c r="G10" s="18">
        <v>96.28</v>
      </c>
      <c r="H10" s="18">
        <v>94.33</v>
      </c>
      <c r="I10" s="18">
        <v>95.61</v>
      </c>
      <c r="J10" s="18">
        <v>93.62</v>
      </c>
      <c r="K10" s="18">
        <v>91.48</v>
      </c>
      <c r="L10" s="18">
        <v>99.58</v>
      </c>
      <c r="M10" s="18">
        <v>99.66</v>
      </c>
      <c r="N10" s="18">
        <v>99.63</v>
      </c>
      <c r="O10" s="18">
        <v>94.41</v>
      </c>
      <c r="P10" s="18">
        <v>93.77</v>
      </c>
      <c r="Q10" s="18">
        <v>99.68</v>
      </c>
      <c r="R10" s="18">
        <v>99.71</v>
      </c>
      <c r="S10" s="18">
        <v>99.87</v>
      </c>
      <c r="T10" s="18">
        <v>99.79</v>
      </c>
      <c r="U10" s="18">
        <v>99.62</v>
      </c>
      <c r="V10" s="18">
        <v>96.58</v>
      </c>
      <c r="W10" s="18">
        <v>92.34</v>
      </c>
      <c r="X10" s="18">
        <v>98.58</v>
      </c>
      <c r="Y10" s="18">
        <v>98.66</v>
      </c>
      <c r="Z10" s="18">
        <v>96.28</v>
      </c>
      <c r="AA10" s="18">
        <v>91.11</v>
      </c>
      <c r="AB10" s="22">
        <f t="shared" ref="AB10:AB14" si="3">SUM(D10:AA10)</f>
        <v>2310.28</v>
      </c>
    </row>
    <row r="11" s="1" customFormat="1" ht="20" customHeight="1" spans="1:29">
      <c r="A11" s="15"/>
      <c r="B11" s="16"/>
      <c r="C11" s="17" t="s">
        <v>38</v>
      </c>
      <c r="D11" s="20">
        <v>93.4102</v>
      </c>
      <c r="E11" s="20">
        <v>97.6553</v>
      </c>
      <c r="F11" s="20">
        <v>96.3828</v>
      </c>
      <c r="G11" s="20">
        <v>96.6205</v>
      </c>
      <c r="H11" s="20">
        <v>96.3441</v>
      </c>
      <c r="I11" s="20">
        <v>95.5293</v>
      </c>
      <c r="J11" s="20">
        <v>93.8432</v>
      </c>
      <c r="K11" s="20">
        <v>93.3153</v>
      </c>
      <c r="L11" s="20">
        <v>101.2451</v>
      </c>
      <c r="M11" s="20">
        <v>99.6618</v>
      </c>
      <c r="N11" s="20">
        <v>98.1031</v>
      </c>
      <c r="O11" s="20">
        <v>93.0211</v>
      </c>
      <c r="P11" s="20">
        <v>93.3293</v>
      </c>
      <c r="Q11" s="20">
        <v>95.7671</v>
      </c>
      <c r="R11" s="20">
        <v>97.034</v>
      </c>
      <c r="S11" s="20">
        <v>97.1186</v>
      </c>
      <c r="T11" s="20">
        <v>98.2503</v>
      </c>
      <c r="U11" s="20">
        <v>95.7405</v>
      </c>
      <c r="V11" s="20">
        <v>93.1274</v>
      </c>
      <c r="W11" s="20">
        <v>91.6543</v>
      </c>
      <c r="X11" s="20">
        <v>94.3836</v>
      </c>
      <c r="Y11" s="20">
        <v>92.8946</v>
      </c>
      <c r="Z11" s="20">
        <v>92.7591</v>
      </c>
      <c r="AA11" s="20">
        <v>87.5459</v>
      </c>
      <c r="AB11" s="22">
        <f t="shared" si="3"/>
        <v>2284.7365</v>
      </c>
      <c r="AC11" s="21">
        <f>MAX(D11:AA11)</f>
        <v>101.2451</v>
      </c>
    </row>
    <row r="12" s="1" customFormat="1" ht="20" hidden="1" customHeight="1" spans="1:28">
      <c r="A12" s="15"/>
      <c r="B12" s="16"/>
      <c r="C12" s="17" t="s">
        <v>39</v>
      </c>
      <c r="D12" s="20">
        <f t="shared" ref="D12:AB12" si="4">D10-D11</f>
        <v>-3.2302</v>
      </c>
      <c r="E12" s="20">
        <f t="shared" si="4"/>
        <v>-3.47529999999999</v>
      </c>
      <c r="F12" s="20">
        <f t="shared" si="4"/>
        <v>-1.0528</v>
      </c>
      <c r="G12" s="20">
        <f t="shared" si="4"/>
        <v>-0.340500000000006</v>
      </c>
      <c r="H12" s="20">
        <f t="shared" si="4"/>
        <v>-2.0141</v>
      </c>
      <c r="I12" s="20">
        <f t="shared" si="4"/>
        <v>0.0806999999999931</v>
      </c>
      <c r="J12" s="20">
        <f t="shared" si="4"/>
        <v>-0.223199999999991</v>
      </c>
      <c r="K12" s="20">
        <f t="shared" si="4"/>
        <v>-1.83529999999999</v>
      </c>
      <c r="L12" s="20">
        <f t="shared" si="4"/>
        <v>-1.6651</v>
      </c>
      <c r="M12" s="20">
        <f t="shared" si="4"/>
        <v>-0.00180000000000291</v>
      </c>
      <c r="N12" s="20">
        <f t="shared" si="4"/>
        <v>1.5269</v>
      </c>
      <c r="O12" s="20">
        <f t="shared" si="4"/>
        <v>1.38889999999999</v>
      </c>
      <c r="P12" s="20">
        <f t="shared" si="4"/>
        <v>0.440699999999993</v>
      </c>
      <c r="Q12" s="20">
        <f t="shared" si="4"/>
        <v>3.91290000000001</v>
      </c>
      <c r="R12" s="20">
        <f t="shared" si="4"/>
        <v>2.67599999999999</v>
      </c>
      <c r="S12" s="20">
        <f t="shared" si="4"/>
        <v>2.7514</v>
      </c>
      <c r="T12" s="20">
        <f t="shared" si="4"/>
        <v>1.53970000000001</v>
      </c>
      <c r="U12" s="20">
        <f t="shared" si="4"/>
        <v>3.87950000000001</v>
      </c>
      <c r="V12" s="20">
        <f t="shared" si="4"/>
        <v>3.4526</v>
      </c>
      <c r="W12" s="20">
        <f t="shared" si="4"/>
        <v>0.685699999999997</v>
      </c>
      <c r="X12" s="20">
        <f t="shared" si="4"/>
        <v>4.1964</v>
      </c>
      <c r="Y12" s="20">
        <f t="shared" si="4"/>
        <v>5.7654</v>
      </c>
      <c r="Z12" s="20">
        <f t="shared" si="4"/>
        <v>3.5209</v>
      </c>
      <c r="AA12" s="20">
        <f t="shared" si="4"/>
        <v>3.5641</v>
      </c>
      <c r="AB12" s="23">
        <f t="shared" si="4"/>
        <v>25.5434999999998</v>
      </c>
    </row>
    <row r="13" s="1" customFormat="1" ht="20" hidden="1" customHeight="1" spans="1:28">
      <c r="A13" s="15">
        <v>46116</v>
      </c>
      <c r="B13" s="16">
        <v>4303121811816</v>
      </c>
      <c r="C13" s="17" t="s">
        <v>37</v>
      </c>
      <c r="D13" s="18">
        <v>92.87</v>
      </c>
      <c r="E13" s="18">
        <v>95.66</v>
      </c>
      <c r="F13" s="18">
        <v>95.84</v>
      </c>
      <c r="G13" s="18">
        <v>96.11</v>
      </c>
      <c r="H13" s="18">
        <v>94.86</v>
      </c>
      <c r="I13" s="18">
        <v>92.71</v>
      </c>
      <c r="J13" s="18">
        <v>88.87</v>
      </c>
      <c r="K13" s="18">
        <v>79.68</v>
      </c>
      <c r="L13" s="18">
        <v>78.81</v>
      </c>
      <c r="M13" s="18">
        <v>76.51</v>
      </c>
      <c r="N13" s="18">
        <v>70.28</v>
      </c>
      <c r="O13" s="18">
        <v>68.22</v>
      </c>
      <c r="P13" s="18">
        <v>66.81</v>
      </c>
      <c r="Q13" s="18">
        <v>70.11</v>
      </c>
      <c r="R13" s="18">
        <v>74.28</v>
      </c>
      <c r="S13" s="18">
        <v>78.11</v>
      </c>
      <c r="T13" s="18">
        <v>77.58</v>
      </c>
      <c r="U13" s="18">
        <v>77.62</v>
      </c>
      <c r="V13" s="18">
        <v>74.33</v>
      </c>
      <c r="W13" s="18">
        <v>56.23</v>
      </c>
      <c r="X13" s="18">
        <v>48.66</v>
      </c>
      <c r="Y13" s="18">
        <v>46.58</v>
      </c>
      <c r="Z13" s="18">
        <v>46.22</v>
      </c>
      <c r="AA13" s="18">
        <v>44.33</v>
      </c>
      <c r="AB13" s="22">
        <f t="shared" si="3"/>
        <v>1791.28</v>
      </c>
    </row>
    <row r="14" s="1" customFormat="1" ht="20" customHeight="1" spans="1:29">
      <c r="A14" s="15"/>
      <c r="B14" s="16"/>
      <c r="C14" s="17" t="s">
        <v>38</v>
      </c>
      <c r="D14" s="19">
        <v>88.7286</v>
      </c>
      <c r="E14" s="19">
        <v>92.5065</v>
      </c>
      <c r="F14" s="19">
        <v>92.1044</v>
      </c>
      <c r="G14" s="19">
        <v>91.8597</v>
      </c>
      <c r="H14" s="19">
        <v>87.5125</v>
      </c>
      <c r="I14" s="19">
        <v>86.5691</v>
      </c>
      <c r="J14" s="19">
        <v>82.4666</v>
      </c>
      <c r="K14" s="19">
        <v>73.6986</v>
      </c>
      <c r="L14" s="19">
        <v>77.0475</v>
      </c>
      <c r="M14" s="19">
        <v>74.4409</v>
      </c>
      <c r="N14" s="19">
        <v>73.3268</v>
      </c>
      <c r="O14" s="19">
        <v>72.8429</v>
      </c>
      <c r="P14" s="19">
        <v>70.4264</v>
      </c>
      <c r="Q14" s="19">
        <v>73.6419</v>
      </c>
      <c r="R14" s="19">
        <v>72.3501</v>
      </c>
      <c r="S14" s="19">
        <v>70.9069</v>
      </c>
      <c r="T14" s="19">
        <v>65.245</v>
      </c>
      <c r="U14" s="19">
        <v>59.9544</v>
      </c>
      <c r="V14" s="19">
        <v>55.2235</v>
      </c>
      <c r="W14" s="19">
        <v>44.7551</v>
      </c>
      <c r="X14" s="19">
        <v>40.4343</v>
      </c>
      <c r="Y14" s="19">
        <v>39.2726</v>
      </c>
      <c r="Z14" s="19">
        <v>37.2099</v>
      </c>
      <c r="AA14" s="19">
        <v>32.8082</v>
      </c>
      <c r="AB14" s="22">
        <f t="shared" si="3"/>
        <v>1655.3324</v>
      </c>
      <c r="AC14" s="21">
        <f>MAX(D14:AA14)</f>
        <v>92.5065</v>
      </c>
    </row>
    <row r="15" s="1" customFormat="1" ht="20" hidden="1" customHeight="1" spans="1:28">
      <c r="A15" s="15"/>
      <c r="B15" s="16"/>
      <c r="C15" s="17" t="s">
        <v>39</v>
      </c>
      <c r="D15" s="20">
        <f t="shared" ref="D15:AB15" si="5">D13-D14</f>
        <v>4.1414</v>
      </c>
      <c r="E15" s="20">
        <f t="shared" si="5"/>
        <v>3.15349999999999</v>
      </c>
      <c r="F15" s="20">
        <f t="shared" si="5"/>
        <v>3.7356</v>
      </c>
      <c r="G15" s="20">
        <f t="shared" si="5"/>
        <v>4.2503</v>
      </c>
      <c r="H15" s="20">
        <f t="shared" si="5"/>
        <v>7.3475</v>
      </c>
      <c r="I15" s="20">
        <f t="shared" si="5"/>
        <v>6.14089999999999</v>
      </c>
      <c r="J15" s="20">
        <f t="shared" si="5"/>
        <v>6.4034</v>
      </c>
      <c r="K15" s="20">
        <f t="shared" si="5"/>
        <v>5.98140000000001</v>
      </c>
      <c r="L15" s="20">
        <f t="shared" si="5"/>
        <v>1.7625</v>
      </c>
      <c r="M15" s="20">
        <f t="shared" si="5"/>
        <v>2.06910000000001</v>
      </c>
      <c r="N15" s="20">
        <f t="shared" si="5"/>
        <v>-3.0468</v>
      </c>
      <c r="O15" s="20">
        <f t="shared" si="5"/>
        <v>-4.6229</v>
      </c>
      <c r="P15" s="20">
        <f t="shared" si="5"/>
        <v>-3.6164</v>
      </c>
      <c r="Q15" s="20">
        <f t="shared" si="5"/>
        <v>-3.53190000000001</v>
      </c>
      <c r="R15" s="20">
        <f t="shared" si="5"/>
        <v>1.9299</v>
      </c>
      <c r="S15" s="20">
        <f t="shared" si="5"/>
        <v>7.20310000000001</v>
      </c>
      <c r="T15" s="20">
        <f t="shared" si="5"/>
        <v>12.335</v>
      </c>
      <c r="U15" s="20">
        <f t="shared" si="5"/>
        <v>17.6656</v>
      </c>
      <c r="V15" s="20">
        <f t="shared" si="5"/>
        <v>19.1065</v>
      </c>
      <c r="W15" s="20">
        <f t="shared" si="5"/>
        <v>11.4749</v>
      </c>
      <c r="X15" s="20">
        <f t="shared" si="5"/>
        <v>8.2257</v>
      </c>
      <c r="Y15" s="20">
        <f t="shared" si="5"/>
        <v>7.3074</v>
      </c>
      <c r="Z15" s="20">
        <f t="shared" si="5"/>
        <v>9.0101</v>
      </c>
      <c r="AA15" s="20">
        <f t="shared" si="5"/>
        <v>11.5218</v>
      </c>
      <c r="AB15" s="23">
        <f t="shared" si="5"/>
        <v>135.9476</v>
      </c>
    </row>
    <row r="16" s="1" customFormat="1" ht="20" hidden="1" customHeight="1" spans="1:28">
      <c r="A16" s="15">
        <v>46117</v>
      </c>
      <c r="B16" s="16">
        <v>4303121811816</v>
      </c>
      <c r="C16" s="17" t="s">
        <v>37</v>
      </c>
      <c r="D16" s="18">
        <v>33.28</v>
      </c>
      <c r="E16" s="18">
        <v>28.62</v>
      </c>
      <c r="F16" s="18">
        <v>29.66</v>
      </c>
      <c r="G16" s="18">
        <v>28.58</v>
      </c>
      <c r="H16" s="18">
        <v>28.55</v>
      </c>
      <c r="I16" s="18">
        <v>27.66</v>
      </c>
      <c r="J16" s="18">
        <v>27.81</v>
      </c>
      <c r="K16" s="18">
        <v>27.66</v>
      </c>
      <c r="L16" s="18">
        <v>28.65</v>
      </c>
      <c r="M16" s="18">
        <v>26.11</v>
      </c>
      <c r="N16" s="18">
        <v>26.34</v>
      </c>
      <c r="O16" s="18">
        <v>25.42</v>
      </c>
      <c r="P16" s="18">
        <v>25.66</v>
      </c>
      <c r="Q16" s="18">
        <v>26.54</v>
      </c>
      <c r="R16" s="18">
        <v>26.77</v>
      </c>
      <c r="S16" s="18">
        <v>26.51</v>
      </c>
      <c r="T16" s="18">
        <v>27.18</v>
      </c>
      <c r="U16" s="18">
        <v>28.66</v>
      </c>
      <c r="V16" s="18">
        <v>25.85</v>
      </c>
      <c r="W16" s="18">
        <v>25.66</v>
      </c>
      <c r="X16" s="18">
        <v>28.11</v>
      </c>
      <c r="Y16" s="18">
        <v>28.68</v>
      </c>
      <c r="Z16" s="18">
        <v>28.62</v>
      </c>
      <c r="AA16" s="18">
        <v>27.28</v>
      </c>
      <c r="AB16" s="22">
        <f t="shared" ref="AB16:AB20" si="6">SUM(D16:AA16)</f>
        <v>663.86</v>
      </c>
    </row>
    <row r="17" s="1" customFormat="1" ht="20" customHeight="1" spans="1:29">
      <c r="A17" s="15"/>
      <c r="B17" s="16"/>
      <c r="C17" s="17" t="s">
        <v>38</v>
      </c>
      <c r="D17" s="20">
        <v>32.6937</v>
      </c>
      <c r="E17" s="20">
        <v>32.1446</v>
      </c>
      <c r="F17" s="20">
        <v>32.2907</v>
      </c>
      <c r="G17" s="20">
        <v>32.076</v>
      </c>
      <c r="H17" s="20">
        <v>32.0013</v>
      </c>
      <c r="I17" s="20">
        <v>31.6677</v>
      </c>
      <c r="J17" s="20">
        <v>32.0654</v>
      </c>
      <c r="K17" s="20">
        <v>29.7493</v>
      </c>
      <c r="L17" s="20">
        <v>24.1524</v>
      </c>
      <c r="M17" s="20">
        <v>29.0224</v>
      </c>
      <c r="N17" s="20">
        <v>29.6243</v>
      </c>
      <c r="O17" s="20">
        <v>29.0646</v>
      </c>
      <c r="P17" s="20">
        <v>28.5049</v>
      </c>
      <c r="Q17" s="20">
        <v>29.7828</v>
      </c>
      <c r="R17" s="20">
        <v>29.4607</v>
      </c>
      <c r="S17" s="20">
        <v>29.4958</v>
      </c>
      <c r="T17" s="20">
        <v>29.3973</v>
      </c>
      <c r="U17" s="20">
        <v>29.135</v>
      </c>
      <c r="V17" s="20">
        <v>30.0819</v>
      </c>
      <c r="W17" s="20">
        <v>32.9912</v>
      </c>
      <c r="X17" s="20">
        <v>33.132</v>
      </c>
      <c r="Y17" s="20">
        <v>33.6864</v>
      </c>
      <c r="Z17" s="20">
        <v>35.2809</v>
      </c>
      <c r="AA17" s="20">
        <v>33.9768</v>
      </c>
      <c r="AB17" s="22">
        <f t="shared" si="6"/>
        <v>741.4781</v>
      </c>
      <c r="AC17" s="21">
        <f>MAX(D17:AA17)</f>
        <v>35.2809</v>
      </c>
    </row>
    <row r="18" s="1" customFormat="1" ht="20" hidden="1" customHeight="1" spans="1:28">
      <c r="A18" s="15"/>
      <c r="B18" s="16"/>
      <c r="C18" s="17" t="s">
        <v>39</v>
      </c>
      <c r="D18" s="20">
        <f t="shared" ref="D18:AB18" si="7">D16-D17</f>
        <v>0.586300000000001</v>
      </c>
      <c r="E18" s="20">
        <f t="shared" si="7"/>
        <v>-3.5246</v>
      </c>
      <c r="F18" s="20">
        <f t="shared" si="7"/>
        <v>-2.6307</v>
      </c>
      <c r="G18" s="20">
        <f t="shared" si="7"/>
        <v>-3.496</v>
      </c>
      <c r="H18" s="20">
        <f t="shared" si="7"/>
        <v>-3.4513</v>
      </c>
      <c r="I18" s="20">
        <f t="shared" si="7"/>
        <v>-4.0077</v>
      </c>
      <c r="J18" s="20">
        <f t="shared" si="7"/>
        <v>-4.2554</v>
      </c>
      <c r="K18" s="20">
        <f t="shared" si="7"/>
        <v>-2.0893</v>
      </c>
      <c r="L18" s="20">
        <f t="shared" si="7"/>
        <v>4.4976</v>
      </c>
      <c r="M18" s="20">
        <f t="shared" si="7"/>
        <v>-2.9124</v>
      </c>
      <c r="N18" s="20">
        <f t="shared" si="7"/>
        <v>-3.2843</v>
      </c>
      <c r="O18" s="20">
        <f t="shared" si="7"/>
        <v>-3.6446</v>
      </c>
      <c r="P18" s="20">
        <f t="shared" si="7"/>
        <v>-2.8449</v>
      </c>
      <c r="Q18" s="20">
        <f t="shared" si="7"/>
        <v>-3.2428</v>
      </c>
      <c r="R18" s="20">
        <f t="shared" si="7"/>
        <v>-2.6907</v>
      </c>
      <c r="S18" s="20">
        <f t="shared" si="7"/>
        <v>-2.9858</v>
      </c>
      <c r="T18" s="20">
        <f t="shared" si="7"/>
        <v>-2.2173</v>
      </c>
      <c r="U18" s="20">
        <f t="shared" si="7"/>
        <v>-0.475000000000001</v>
      </c>
      <c r="V18" s="20">
        <f t="shared" si="7"/>
        <v>-4.2319</v>
      </c>
      <c r="W18" s="20">
        <f t="shared" si="7"/>
        <v>-7.3312</v>
      </c>
      <c r="X18" s="20">
        <f t="shared" si="7"/>
        <v>-5.022</v>
      </c>
      <c r="Y18" s="20">
        <f t="shared" si="7"/>
        <v>-5.0064</v>
      </c>
      <c r="Z18" s="20">
        <f t="shared" si="7"/>
        <v>-6.6609</v>
      </c>
      <c r="AA18" s="20">
        <f t="shared" si="7"/>
        <v>-6.6968</v>
      </c>
      <c r="AB18" s="23">
        <f t="shared" si="7"/>
        <v>-77.6181000000001</v>
      </c>
    </row>
    <row r="19" s="1" customFormat="1" ht="20" hidden="1" customHeight="1" spans="1:28">
      <c r="A19" s="15">
        <v>46118</v>
      </c>
      <c r="B19" s="16">
        <v>4303121811816</v>
      </c>
      <c r="C19" s="17" t="s">
        <v>37</v>
      </c>
      <c r="D19" s="18">
        <v>39.66</v>
      </c>
      <c r="E19" s="18">
        <v>43.58</v>
      </c>
      <c r="F19" s="18">
        <v>44.62</v>
      </c>
      <c r="G19" s="18">
        <v>44.81</v>
      </c>
      <c r="H19" s="18">
        <v>48.62</v>
      </c>
      <c r="I19" s="18">
        <v>51.66</v>
      </c>
      <c r="J19" s="18">
        <v>52.32</v>
      </c>
      <c r="K19" s="18">
        <v>71.55</v>
      </c>
      <c r="L19" s="18">
        <v>80.62</v>
      </c>
      <c r="M19" s="18">
        <v>85.66</v>
      </c>
      <c r="N19" s="18">
        <v>84.72</v>
      </c>
      <c r="O19" s="18">
        <v>82.22</v>
      </c>
      <c r="P19" s="18">
        <v>82.51</v>
      </c>
      <c r="Q19" s="18">
        <v>83.54</v>
      </c>
      <c r="R19" s="18">
        <v>84.62</v>
      </c>
      <c r="S19" s="18">
        <v>84.55</v>
      </c>
      <c r="T19" s="18">
        <v>86.22</v>
      </c>
      <c r="U19" s="18">
        <v>85.11</v>
      </c>
      <c r="V19" s="18">
        <v>82.33</v>
      </c>
      <c r="W19" s="18">
        <v>82.41</v>
      </c>
      <c r="X19" s="18">
        <v>87.58</v>
      </c>
      <c r="Y19" s="18">
        <v>88.66</v>
      </c>
      <c r="Z19" s="18">
        <v>87.66</v>
      </c>
      <c r="AA19" s="18">
        <v>88.78</v>
      </c>
      <c r="AB19" s="22">
        <f t="shared" si="6"/>
        <v>1754.01</v>
      </c>
    </row>
    <row r="20" s="1" customFormat="1" ht="20" customHeight="1" spans="1:29">
      <c r="A20" s="15"/>
      <c r="B20" s="16"/>
      <c r="C20" s="17" t="s">
        <v>38</v>
      </c>
      <c r="D20" s="19">
        <v>35.9251</v>
      </c>
      <c r="E20" s="19">
        <v>48.9316</v>
      </c>
      <c r="F20" s="19">
        <v>50.0861</v>
      </c>
      <c r="G20" s="19">
        <v>50.202</v>
      </c>
      <c r="H20" s="19">
        <v>53.2118</v>
      </c>
      <c r="I20" s="19">
        <v>54.8046</v>
      </c>
      <c r="J20" s="19">
        <v>55.8325</v>
      </c>
      <c r="K20" s="19">
        <v>66.4752</v>
      </c>
      <c r="L20" s="19">
        <v>82.118</v>
      </c>
      <c r="M20" s="19">
        <v>84.172</v>
      </c>
      <c r="N20" s="19">
        <v>82.947</v>
      </c>
      <c r="O20" s="19">
        <v>77.7076</v>
      </c>
      <c r="P20" s="19">
        <v>79.1138</v>
      </c>
      <c r="Q20" s="19">
        <v>83.8235</v>
      </c>
      <c r="R20" s="19">
        <v>85.279</v>
      </c>
      <c r="S20" s="19">
        <v>85.969</v>
      </c>
      <c r="T20" s="19">
        <v>87.9612</v>
      </c>
      <c r="U20" s="19">
        <v>85.4269</v>
      </c>
      <c r="V20" s="19">
        <v>81.6165</v>
      </c>
      <c r="W20" s="19">
        <v>79.4481</v>
      </c>
      <c r="X20" s="19">
        <v>86.8524</v>
      </c>
      <c r="Y20" s="19">
        <v>85.5571</v>
      </c>
      <c r="Z20" s="19">
        <v>85.8457</v>
      </c>
      <c r="AA20" s="19">
        <v>83.248</v>
      </c>
      <c r="AB20" s="22">
        <f t="shared" si="6"/>
        <v>1752.5547</v>
      </c>
      <c r="AC20" s="21">
        <f>MAX(D20:AA20)</f>
        <v>87.9612</v>
      </c>
    </row>
    <row r="21" s="1" customFormat="1" ht="20" hidden="1" customHeight="1" spans="1:28">
      <c r="A21" s="15"/>
      <c r="B21" s="16"/>
      <c r="C21" s="17" t="s">
        <v>39</v>
      </c>
      <c r="D21" s="20">
        <f t="shared" ref="D21:AB21" si="8">D19-D20</f>
        <v>3.7349</v>
      </c>
      <c r="E21" s="20">
        <f t="shared" si="8"/>
        <v>-5.3516</v>
      </c>
      <c r="F21" s="20">
        <f t="shared" si="8"/>
        <v>-5.4661</v>
      </c>
      <c r="G21" s="20">
        <f t="shared" si="8"/>
        <v>-5.392</v>
      </c>
      <c r="H21" s="20">
        <f t="shared" si="8"/>
        <v>-4.5918</v>
      </c>
      <c r="I21" s="20">
        <f t="shared" si="8"/>
        <v>-3.1446</v>
      </c>
      <c r="J21" s="20">
        <f t="shared" si="8"/>
        <v>-3.5125</v>
      </c>
      <c r="K21" s="20">
        <f t="shared" si="8"/>
        <v>5.0748</v>
      </c>
      <c r="L21" s="20">
        <f t="shared" si="8"/>
        <v>-1.49799999999999</v>
      </c>
      <c r="M21" s="20">
        <f t="shared" si="8"/>
        <v>1.488</v>
      </c>
      <c r="N21" s="20">
        <f t="shared" si="8"/>
        <v>1.773</v>
      </c>
      <c r="O21" s="20">
        <f t="shared" si="8"/>
        <v>4.5124</v>
      </c>
      <c r="P21" s="20">
        <f t="shared" si="8"/>
        <v>3.39620000000001</v>
      </c>
      <c r="Q21" s="20">
        <f t="shared" si="8"/>
        <v>-0.283499999999989</v>
      </c>
      <c r="R21" s="20">
        <f t="shared" si="8"/>
        <v>-0.658999999999992</v>
      </c>
      <c r="S21" s="20">
        <f t="shared" si="8"/>
        <v>-1.419</v>
      </c>
      <c r="T21" s="20">
        <f t="shared" si="8"/>
        <v>-1.74120000000001</v>
      </c>
      <c r="U21" s="20">
        <f t="shared" si="8"/>
        <v>-0.316900000000004</v>
      </c>
      <c r="V21" s="20">
        <f t="shared" si="8"/>
        <v>0.713499999999996</v>
      </c>
      <c r="W21" s="20">
        <f t="shared" si="8"/>
        <v>2.9619</v>
      </c>
      <c r="X21" s="20">
        <f t="shared" si="8"/>
        <v>0.727599999999995</v>
      </c>
      <c r="Y21" s="20">
        <f t="shared" si="8"/>
        <v>3.10289999999999</v>
      </c>
      <c r="Z21" s="20">
        <f t="shared" si="8"/>
        <v>1.8143</v>
      </c>
      <c r="AA21" s="20">
        <f t="shared" si="8"/>
        <v>5.532</v>
      </c>
      <c r="AB21" s="23">
        <f t="shared" si="8"/>
        <v>1.45530000000008</v>
      </c>
    </row>
    <row r="22" s="1" customFormat="1" ht="20" hidden="1" customHeight="1" spans="1:28">
      <c r="A22" s="15">
        <v>46119</v>
      </c>
      <c r="B22" s="16">
        <v>4303121811816</v>
      </c>
      <c r="C22" s="17" t="s">
        <v>37</v>
      </c>
      <c r="D22" s="18">
        <v>88.82</v>
      </c>
      <c r="E22" s="18">
        <v>89.56</v>
      </c>
      <c r="F22" s="18">
        <v>88.95</v>
      </c>
      <c r="G22" s="18">
        <v>89.62</v>
      </c>
      <c r="H22" s="18">
        <v>87.58</v>
      </c>
      <c r="I22" s="18">
        <v>88.66</v>
      </c>
      <c r="J22" s="18">
        <v>87.62</v>
      </c>
      <c r="K22" s="18">
        <v>86.55</v>
      </c>
      <c r="L22" s="18">
        <v>95.55</v>
      </c>
      <c r="M22" s="18">
        <v>98.68</v>
      </c>
      <c r="N22" s="18">
        <v>98.33</v>
      </c>
      <c r="O22" s="18">
        <v>97.58</v>
      </c>
      <c r="P22" s="18">
        <v>95.66</v>
      </c>
      <c r="Q22" s="18">
        <v>99.62</v>
      </c>
      <c r="R22" s="18">
        <v>99.87</v>
      </c>
      <c r="S22" s="18">
        <v>96.55</v>
      </c>
      <c r="T22" s="18">
        <v>99.74</v>
      </c>
      <c r="U22" s="18">
        <v>98.66</v>
      </c>
      <c r="V22" s="18">
        <v>96.33</v>
      </c>
      <c r="W22" s="18">
        <v>97.28</v>
      </c>
      <c r="X22" s="18">
        <v>98.58</v>
      </c>
      <c r="Y22" s="18">
        <v>98.11</v>
      </c>
      <c r="Z22" s="18">
        <v>95.54</v>
      </c>
      <c r="AA22" s="18">
        <v>94.33</v>
      </c>
      <c r="AB22" s="22">
        <f t="shared" ref="AB22:AB26" si="9">SUM(D22:AA22)</f>
        <v>2267.77</v>
      </c>
    </row>
    <row r="23" s="1" customFormat="1" ht="20" customHeight="1" spans="1:29">
      <c r="A23" s="15"/>
      <c r="B23" s="16"/>
      <c r="C23" s="17" t="s">
        <v>38</v>
      </c>
      <c r="D23" s="20">
        <v>82.2061</v>
      </c>
      <c r="E23" s="20">
        <v>85.0344</v>
      </c>
      <c r="F23" s="20">
        <v>86.1679</v>
      </c>
      <c r="G23" s="20">
        <v>87.4069</v>
      </c>
      <c r="H23" s="20">
        <v>88.4523</v>
      </c>
      <c r="I23" s="20">
        <v>87.7184</v>
      </c>
      <c r="J23" s="20">
        <v>84.5996</v>
      </c>
      <c r="K23" s="20">
        <v>86.7169</v>
      </c>
      <c r="L23" s="20">
        <v>97.189</v>
      </c>
      <c r="M23" s="20">
        <v>96.946</v>
      </c>
      <c r="N23" s="20">
        <v>95.0752</v>
      </c>
      <c r="O23" s="20">
        <v>92.2064</v>
      </c>
      <c r="P23" s="20">
        <v>94.8288</v>
      </c>
      <c r="Q23" s="20">
        <v>97.3385</v>
      </c>
      <c r="R23" s="20">
        <v>100.4643</v>
      </c>
      <c r="S23" s="20">
        <v>98.8381</v>
      </c>
      <c r="T23" s="20">
        <v>101.0627</v>
      </c>
      <c r="U23" s="20">
        <v>100.3429</v>
      </c>
      <c r="V23" s="20">
        <v>98.4438</v>
      </c>
      <c r="W23" s="20">
        <v>93.7042</v>
      </c>
      <c r="X23" s="20">
        <v>98.9049</v>
      </c>
      <c r="Y23" s="20">
        <v>97.7486</v>
      </c>
      <c r="Z23" s="20">
        <v>97.0306</v>
      </c>
      <c r="AA23" s="20">
        <v>91.476</v>
      </c>
      <c r="AB23" s="22">
        <f t="shared" si="9"/>
        <v>2239.9025</v>
      </c>
      <c r="AC23" s="21">
        <f>MAX(D23:AA23)</f>
        <v>101.0627</v>
      </c>
    </row>
    <row r="24" s="1" customFormat="1" ht="20" hidden="1" customHeight="1" spans="1:28">
      <c r="A24" s="15"/>
      <c r="B24" s="16"/>
      <c r="C24" s="17" t="s">
        <v>39</v>
      </c>
      <c r="D24" s="20">
        <f t="shared" ref="D24:AB24" si="10">D22-D23</f>
        <v>6.61389999999999</v>
      </c>
      <c r="E24" s="20">
        <f t="shared" si="10"/>
        <v>4.5256</v>
      </c>
      <c r="F24" s="20">
        <f t="shared" si="10"/>
        <v>2.7821</v>
      </c>
      <c r="G24" s="20">
        <f t="shared" si="10"/>
        <v>2.21310000000001</v>
      </c>
      <c r="H24" s="20">
        <f t="shared" si="10"/>
        <v>-0.872299999999996</v>
      </c>
      <c r="I24" s="20">
        <f t="shared" si="10"/>
        <v>0.941599999999994</v>
      </c>
      <c r="J24" s="20">
        <f t="shared" si="10"/>
        <v>3.02040000000001</v>
      </c>
      <c r="K24" s="20">
        <f t="shared" si="10"/>
        <v>-0.166899999999998</v>
      </c>
      <c r="L24" s="20">
        <f t="shared" si="10"/>
        <v>-1.639</v>
      </c>
      <c r="M24" s="20">
        <f t="shared" si="10"/>
        <v>1.73400000000001</v>
      </c>
      <c r="N24" s="20">
        <f t="shared" si="10"/>
        <v>3.2548</v>
      </c>
      <c r="O24" s="20">
        <f t="shared" si="10"/>
        <v>5.3736</v>
      </c>
      <c r="P24" s="20">
        <f t="shared" si="10"/>
        <v>0.831199999999995</v>
      </c>
      <c r="Q24" s="20">
        <f t="shared" si="10"/>
        <v>2.28150000000001</v>
      </c>
      <c r="R24" s="20">
        <f t="shared" si="10"/>
        <v>-0.59429999999999</v>
      </c>
      <c r="S24" s="20">
        <f t="shared" si="10"/>
        <v>-2.2881</v>
      </c>
      <c r="T24" s="20">
        <f t="shared" si="10"/>
        <v>-1.32270000000001</v>
      </c>
      <c r="U24" s="20">
        <f t="shared" si="10"/>
        <v>-1.6829</v>
      </c>
      <c r="V24" s="20">
        <f t="shared" si="10"/>
        <v>-2.1138</v>
      </c>
      <c r="W24" s="20">
        <f t="shared" si="10"/>
        <v>3.5758</v>
      </c>
      <c r="X24" s="20">
        <f t="shared" si="10"/>
        <v>-0.3249</v>
      </c>
      <c r="Y24" s="20">
        <f t="shared" si="10"/>
        <v>0.361400000000003</v>
      </c>
      <c r="Z24" s="20">
        <f t="shared" si="10"/>
        <v>-1.4906</v>
      </c>
      <c r="AA24" s="20">
        <f t="shared" si="10"/>
        <v>2.854</v>
      </c>
      <c r="AB24" s="23">
        <f t="shared" si="10"/>
        <v>27.8674999999998</v>
      </c>
    </row>
    <row r="25" s="1" customFormat="1" ht="20" hidden="1" customHeight="1" spans="1:28">
      <c r="A25" s="15">
        <v>46120</v>
      </c>
      <c r="B25" s="16">
        <v>4303121811816</v>
      </c>
      <c r="C25" s="17" t="s">
        <v>37</v>
      </c>
      <c r="D25" s="18">
        <v>92.18</v>
      </c>
      <c r="E25" s="18">
        <v>95.66</v>
      </c>
      <c r="F25" s="18">
        <v>96.54</v>
      </c>
      <c r="G25" s="18">
        <v>97.66</v>
      </c>
      <c r="H25" s="18">
        <v>96.38</v>
      </c>
      <c r="I25" s="18">
        <v>93.44</v>
      </c>
      <c r="J25" s="18">
        <v>93.58</v>
      </c>
      <c r="K25" s="18">
        <v>93.66</v>
      </c>
      <c r="L25" s="18">
        <v>99.62</v>
      </c>
      <c r="M25" s="18">
        <v>99.87</v>
      </c>
      <c r="N25" s="18">
        <v>98.54</v>
      </c>
      <c r="O25" s="18">
        <v>97.66</v>
      </c>
      <c r="P25" s="18">
        <v>98.21</v>
      </c>
      <c r="Q25" s="18">
        <v>98.58</v>
      </c>
      <c r="R25" s="18">
        <v>99.89</v>
      </c>
      <c r="S25" s="18">
        <v>101.88</v>
      </c>
      <c r="T25" s="18">
        <v>100.66</v>
      </c>
      <c r="U25" s="18">
        <v>100.58</v>
      </c>
      <c r="V25" s="18">
        <v>97.54</v>
      </c>
      <c r="W25" s="18">
        <v>93.66</v>
      </c>
      <c r="X25" s="18">
        <v>99.21</v>
      </c>
      <c r="Y25" s="18">
        <v>98.55</v>
      </c>
      <c r="Z25" s="18">
        <v>96.85</v>
      </c>
      <c r="AA25" s="18">
        <v>93.56</v>
      </c>
      <c r="AB25" s="22">
        <f t="shared" si="9"/>
        <v>2333.96</v>
      </c>
    </row>
    <row r="26" s="1" customFormat="1" ht="20" customHeight="1" spans="1:29">
      <c r="A26" s="15"/>
      <c r="B26" s="16"/>
      <c r="C26" s="17" t="s">
        <v>38</v>
      </c>
      <c r="D26" s="19">
        <v>92.4423</v>
      </c>
      <c r="E26" s="19">
        <v>96.6012</v>
      </c>
      <c r="F26" s="19">
        <v>96.4744</v>
      </c>
      <c r="G26" s="19">
        <v>95.8179</v>
      </c>
      <c r="H26" s="19">
        <v>95.8232</v>
      </c>
      <c r="I26" s="19">
        <v>93.9857</v>
      </c>
      <c r="J26" s="19">
        <v>93.0107</v>
      </c>
      <c r="K26" s="19">
        <v>92.7531</v>
      </c>
      <c r="L26" s="19">
        <v>100.9237</v>
      </c>
      <c r="M26" s="19">
        <v>96.3193</v>
      </c>
      <c r="N26" s="19">
        <v>92.1536</v>
      </c>
      <c r="O26" s="19">
        <v>88.9328</v>
      </c>
      <c r="P26" s="19">
        <v>86.8508</v>
      </c>
      <c r="Q26" s="19">
        <v>92.8559</v>
      </c>
      <c r="R26" s="19">
        <v>96.8862</v>
      </c>
      <c r="S26" s="19">
        <v>100.7706</v>
      </c>
      <c r="T26" s="19">
        <v>104.8907</v>
      </c>
      <c r="U26" s="19">
        <v>104.0987</v>
      </c>
      <c r="V26" s="19">
        <v>99.0898</v>
      </c>
      <c r="W26" s="19">
        <v>97.8807</v>
      </c>
      <c r="X26" s="19">
        <v>100.5928</v>
      </c>
      <c r="Y26" s="19">
        <v>101.7318</v>
      </c>
      <c r="Z26" s="19">
        <v>100.7301</v>
      </c>
      <c r="AA26" s="19">
        <v>95.9588</v>
      </c>
      <c r="AB26" s="22">
        <f t="shared" si="9"/>
        <v>2317.5748</v>
      </c>
      <c r="AC26" s="21">
        <f>MAX(D26:AA26)</f>
        <v>104.8907</v>
      </c>
    </row>
    <row r="27" s="1" customFormat="1" ht="20" hidden="1" customHeight="1" spans="1:28">
      <c r="A27" s="15"/>
      <c r="B27" s="16"/>
      <c r="C27" s="17" t="s">
        <v>39</v>
      </c>
      <c r="D27" s="20">
        <f t="shared" ref="D27:AB27" si="11">D25-D26</f>
        <v>-0.262299999999996</v>
      </c>
      <c r="E27" s="20">
        <f t="shared" si="11"/>
        <v>-0.941200000000009</v>
      </c>
      <c r="F27" s="20">
        <f t="shared" si="11"/>
        <v>0.0656000000000034</v>
      </c>
      <c r="G27" s="20">
        <f t="shared" si="11"/>
        <v>1.8421</v>
      </c>
      <c r="H27" s="20">
        <f t="shared" si="11"/>
        <v>0.556799999999996</v>
      </c>
      <c r="I27" s="20">
        <f t="shared" si="11"/>
        <v>-0.545699999999997</v>
      </c>
      <c r="J27" s="20">
        <f t="shared" si="11"/>
        <v>0.569299999999998</v>
      </c>
      <c r="K27" s="20">
        <f t="shared" si="11"/>
        <v>0.906899999999993</v>
      </c>
      <c r="L27" s="20">
        <f t="shared" si="11"/>
        <v>-1.30369999999999</v>
      </c>
      <c r="M27" s="20">
        <f t="shared" si="11"/>
        <v>3.55070000000001</v>
      </c>
      <c r="N27" s="20">
        <f t="shared" si="11"/>
        <v>6.38640000000001</v>
      </c>
      <c r="O27" s="20">
        <f t="shared" si="11"/>
        <v>8.7272</v>
      </c>
      <c r="P27" s="20">
        <f t="shared" si="11"/>
        <v>11.3592</v>
      </c>
      <c r="Q27" s="20">
        <f t="shared" si="11"/>
        <v>5.72409999999999</v>
      </c>
      <c r="R27" s="20">
        <f t="shared" si="11"/>
        <v>3.0038</v>
      </c>
      <c r="S27" s="20">
        <f t="shared" si="11"/>
        <v>1.10939999999999</v>
      </c>
      <c r="T27" s="20">
        <f t="shared" si="11"/>
        <v>-4.2307</v>
      </c>
      <c r="U27" s="20">
        <f t="shared" si="11"/>
        <v>-3.5187</v>
      </c>
      <c r="V27" s="20">
        <f t="shared" si="11"/>
        <v>-1.54979999999999</v>
      </c>
      <c r="W27" s="20">
        <f t="shared" si="11"/>
        <v>-4.22070000000001</v>
      </c>
      <c r="X27" s="20">
        <f t="shared" si="11"/>
        <v>-1.3828</v>
      </c>
      <c r="Y27" s="20">
        <f t="shared" si="11"/>
        <v>-3.18180000000001</v>
      </c>
      <c r="Z27" s="20">
        <f t="shared" si="11"/>
        <v>-3.8801</v>
      </c>
      <c r="AA27" s="20">
        <f t="shared" si="11"/>
        <v>-2.39879999999999</v>
      </c>
      <c r="AB27" s="23">
        <f t="shared" si="11"/>
        <v>16.3852000000002</v>
      </c>
    </row>
    <row r="28" s="1" customFormat="1" ht="20" hidden="1" customHeight="1" spans="1:28">
      <c r="A28" s="15">
        <v>46121</v>
      </c>
      <c r="B28" s="16">
        <v>4303121811816</v>
      </c>
      <c r="C28" s="17" t="s">
        <v>37</v>
      </c>
      <c r="D28" s="18">
        <v>92.11</v>
      </c>
      <c r="E28" s="18">
        <v>95.58</v>
      </c>
      <c r="F28" s="18">
        <v>96.77</v>
      </c>
      <c r="G28" s="18">
        <v>97.81</v>
      </c>
      <c r="H28" s="18">
        <v>96.41</v>
      </c>
      <c r="I28" s="18">
        <v>93.52</v>
      </c>
      <c r="J28" s="18">
        <v>93.66</v>
      </c>
      <c r="K28" s="18">
        <v>93.71</v>
      </c>
      <c r="L28" s="18">
        <v>99.81</v>
      </c>
      <c r="M28" s="18">
        <v>99.74</v>
      </c>
      <c r="N28" s="18">
        <v>98.55</v>
      </c>
      <c r="O28" s="18">
        <v>97.71</v>
      </c>
      <c r="P28" s="18">
        <v>98.66</v>
      </c>
      <c r="Q28" s="18">
        <v>98.81</v>
      </c>
      <c r="R28" s="18">
        <v>99.92</v>
      </c>
      <c r="S28" s="18">
        <v>100.89</v>
      </c>
      <c r="T28" s="18">
        <v>100.85</v>
      </c>
      <c r="U28" s="18">
        <v>101.62</v>
      </c>
      <c r="V28" s="18">
        <v>97.66</v>
      </c>
      <c r="W28" s="18">
        <v>93.58</v>
      </c>
      <c r="X28" s="18">
        <v>99.35</v>
      </c>
      <c r="Y28" s="18">
        <v>98.66</v>
      </c>
      <c r="Z28" s="18">
        <v>96.71</v>
      </c>
      <c r="AA28" s="18">
        <v>92.89</v>
      </c>
      <c r="AB28" s="22">
        <f t="shared" ref="AB28:AB32" si="12">SUM(D28:AA28)</f>
        <v>2334.98</v>
      </c>
    </row>
    <row r="29" s="1" customFormat="1" ht="20" customHeight="1" spans="1:29">
      <c r="A29" s="15"/>
      <c r="B29" s="16"/>
      <c r="C29" s="17" t="s">
        <v>38</v>
      </c>
      <c r="D29" s="20">
        <v>97.504</v>
      </c>
      <c r="E29" s="20">
        <v>100.5224</v>
      </c>
      <c r="F29" s="20">
        <v>100.3869</v>
      </c>
      <c r="G29" s="20">
        <v>100.5893</v>
      </c>
      <c r="H29" s="20">
        <v>99.7621</v>
      </c>
      <c r="I29" s="20">
        <v>99.1513</v>
      </c>
      <c r="J29" s="20">
        <v>97.4583</v>
      </c>
      <c r="K29" s="20">
        <v>93.8925</v>
      </c>
      <c r="L29" s="20">
        <v>97.9247</v>
      </c>
      <c r="M29" s="20">
        <v>100.181</v>
      </c>
      <c r="N29" s="20">
        <v>100.4626</v>
      </c>
      <c r="O29" s="20">
        <v>97.5075</v>
      </c>
      <c r="P29" s="20">
        <v>89.8181</v>
      </c>
      <c r="Q29" s="20">
        <v>98.6445</v>
      </c>
      <c r="R29" s="20">
        <v>98.384</v>
      </c>
      <c r="S29" s="20">
        <v>101.4428</v>
      </c>
      <c r="T29" s="20">
        <v>108.6184</v>
      </c>
      <c r="U29" s="20">
        <v>107.3019</v>
      </c>
      <c r="V29" s="20">
        <v>104.2008</v>
      </c>
      <c r="W29" s="20">
        <v>98.7413</v>
      </c>
      <c r="X29" s="20">
        <v>102.5323</v>
      </c>
      <c r="Y29" s="20">
        <v>103.7221</v>
      </c>
      <c r="Z29" s="20">
        <v>101.7333</v>
      </c>
      <c r="AA29" s="20">
        <v>97.2277</v>
      </c>
      <c r="AB29" s="22">
        <f t="shared" si="12"/>
        <v>2397.7098</v>
      </c>
      <c r="AC29" s="21">
        <f>MAX(D29:AA29)</f>
        <v>108.6184</v>
      </c>
    </row>
    <row r="30" s="1" customFormat="1" ht="20" hidden="1" customHeight="1" spans="1:28">
      <c r="A30" s="15"/>
      <c r="B30" s="16"/>
      <c r="C30" s="17" t="s">
        <v>39</v>
      </c>
      <c r="D30" s="20">
        <f t="shared" ref="D30:AB30" si="13">D28-D29</f>
        <v>-5.39400000000001</v>
      </c>
      <c r="E30" s="20">
        <f t="shared" si="13"/>
        <v>-4.94240000000001</v>
      </c>
      <c r="F30" s="20">
        <f t="shared" si="13"/>
        <v>-3.6169</v>
      </c>
      <c r="G30" s="20">
        <f t="shared" si="13"/>
        <v>-2.77929999999999</v>
      </c>
      <c r="H30" s="20">
        <f t="shared" si="13"/>
        <v>-3.35210000000001</v>
      </c>
      <c r="I30" s="20">
        <f t="shared" si="13"/>
        <v>-5.63130000000001</v>
      </c>
      <c r="J30" s="20">
        <f t="shared" si="13"/>
        <v>-3.7983</v>
      </c>
      <c r="K30" s="20">
        <f t="shared" si="13"/>
        <v>-0.182500000000005</v>
      </c>
      <c r="L30" s="20">
        <f t="shared" si="13"/>
        <v>1.8853</v>
      </c>
      <c r="M30" s="20">
        <f t="shared" si="13"/>
        <v>-0.441000000000003</v>
      </c>
      <c r="N30" s="20">
        <f t="shared" si="13"/>
        <v>-1.9126</v>
      </c>
      <c r="O30" s="20">
        <f t="shared" si="13"/>
        <v>0.202500000000001</v>
      </c>
      <c r="P30" s="20">
        <f t="shared" si="13"/>
        <v>8.8419</v>
      </c>
      <c r="Q30" s="20">
        <f t="shared" si="13"/>
        <v>0.165500000000009</v>
      </c>
      <c r="R30" s="20">
        <f t="shared" si="13"/>
        <v>1.536</v>
      </c>
      <c r="S30" s="20">
        <f t="shared" si="13"/>
        <v>-0.552800000000005</v>
      </c>
      <c r="T30" s="20">
        <f t="shared" si="13"/>
        <v>-7.7684</v>
      </c>
      <c r="U30" s="20">
        <f t="shared" si="13"/>
        <v>-5.6819</v>
      </c>
      <c r="V30" s="20">
        <f t="shared" si="13"/>
        <v>-6.5408</v>
      </c>
      <c r="W30" s="20">
        <f t="shared" si="13"/>
        <v>-5.1613</v>
      </c>
      <c r="X30" s="20">
        <f t="shared" si="13"/>
        <v>-3.18230000000001</v>
      </c>
      <c r="Y30" s="20">
        <f t="shared" si="13"/>
        <v>-5.0621</v>
      </c>
      <c r="Z30" s="20">
        <f t="shared" si="13"/>
        <v>-5.02330000000001</v>
      </c>
      <c r="AA30" s="20">
        <f t="shared" si="13"/>
        <v>-4.3377</v>
      </c>
      <c r="AB30" s="23">
        <f t="shared" si="13"/>
        <v>-62.7298000000001</v>
      </c>
    </row>
    <row r="31" s="1" customFormat="1" ht="20" hidden="1" customHeight="1" spans="1:28">
      <c r="A31" s="15">
        <v>46122</v>
      </c>
      <c r="B31" s="16">
        <v>4303121811816</v>
      </c>
      <c r="C31" s="17" t="s">
        <v>37</v>
      </c>
      <c r="D31" s="18">
        <v>92.31</v>
      </c>
      <c r="E31" s="18">
        <v>95.66</v>
      </c>
      <c r="F31" s="18">
        <v>96.78</v>
      </c>
      <c r="G31" s="18">
        <v>97.72</v>
      </c>
      <c r="H31" s="18">
        <v>96.58</v>
      </c>
      <c r="I31" s="18">
        <v>93.66</v>
      </c>
      <c r="J31" s="18">
        <v>93.74</v>
      </c>
      <c r="K31" s="18">
        <v>93.65</v>
      </c>
      <c r="L31" s="18">
        <v>99.75</v>
      </c>
      <c r="M31" s="18">
        <v>99.72</v>
      </c>
      <c r="N31" s="18">
        <v>98.62</v>
      </c>
      <c r="O31" s="18">
        <v>97.66</v>
      </c>
      <c r="P31" s="18">
        <v>98.71</v>
      </c>
      <c r="Q31" s="18">
        <v>98.62</v>
      </c>
      <c r="R31" s="18">
        <v>99.81</v>
      </c>
      <c r="S31" s="18">
        <v>100.76</v>
      </c>
      <c r="T31" s="18">
        <v>100.71</v>
      </c>
      <c r="U31" s="18">
        <v>101.58</v>
      </c>
      <c r="V31" s="18">
        <v>97.58</v>
      </c>
      <c r="W31" s="18">
        <v>93.61</v>
      </c>
      <c r="X31" s="18">
        <v>99.43</v>
      </c>
      <c r="Y31" s="18">
        <v>98.71</v>
      </c>
      <c r="Z31" s="18">
        <v>96.58</v>
      </c>
      <c r="AA31" s="18">
        <v>92.74</v>
      </c>
      <c r="AB31" s="22">
        <f t="shared" si="12"/>
        <v>2334.69</v>
      </c>
    </row>
    <row r="32" s="1" customFormat="1" ht="20" customHeight="1" spans="1:29">
      <c r="A32" s="15"/>
      <c r="B32" s="16"/>
      <c r="C32" s="17" t="s">
        <v>38</v>
      </c>
      <c r="D32" s="19">
        <v>99.2517</v>
      </c>
      <c r="E32" s="19">
        <v>100.0894</v>
      </c>
      <c r="F32" s="19">
        <v>101.5133</v>
      </c>
      <c r="G32" s="19">
        <v>100.1792</v>
      </c>
      <c r="H32" s="19">
        <v>100.1817</v>
      </c>
      <c r="I32" s="19">
        <v>99.8131</v>
      </c>
      <c r="J32" s="19">
        <v>96.7279</v>
      </c>
      <c r="K32" s="19">
        <v>95.8267</v>
      </c>
      <c r="L32" s="19">
        <v>98.7659</v>
      </c>
      <c r="M32" s="19">
        <v>99.8131</v>
      </c>
      <c r="N32" s="19">
        <v>106.8144</v>
      </c>
      <c r="O32" s="19">
        <v>100.7072</v>
      </c>
      <c r="P32" s="19">
        <v>98.3699</v>
      </c>
      <c r="Q32" s="19">
        <v>101.7316</v>
      </c>
      <c r="R32" s="19">
        <v>102.5271</v>
      </c>
      <c r="S32" s="19">
        <v>101.244</v>
      </c>
      <c r="T32" s="19">
        <v>105.857</v>
      </c>
      <c r="U32" s="19">
        <v>108.1361</v>
      </c>
      <c r="V32" s="19">
        <v>105.0157</v>
      </c>
      <c r="W32" s="19">
        <v>98.9577</v>
      </c>
      <c r="X32" s="19">
        <v>103.6484</v>
      </c>
      <c r="Y32" s="19">
        <v>103.0761</v>
      </c>
      <c r="Z32" s="19">
        <v>101.2493</v>
      </c>
      <c r="AA32" s="19">
        <v>95.4749</v>
      </c>
      <c r="AB32" s="22">
        <f t="shared" si="12"/>
        <v>2424.9714</v>
      </c>
      <c r="AC32" s="21">
        <f>MAX(D32:AA32)</f>
        <v>108.1361</v>
      </c>
    </row>
    <row r="33" s="1" customFormat="1" ht="20" hidden="1" customHeight="1" spans="1:28">
      <c r="A33" s="15"/>
      <c r="B33" s="16"/>
      <c r="C33" s="17" t="s">
        <v>39</v>
      </c>
      <c r="D33" s="20">
        <f t="shared" ref="D33:AB33" si="14">D31-D32</f>
        <v>-6.9417</v>
      </c>
      <c r="E33" s="20">
        <f t="shared" si="14"/>
        <v>-4.4294</v>
      </c>
      <c r="F33" s="20">
        <f t="shared" si="14"/>
        <v>-4.7333</v>
      </c>
      <c r="G33" s="20">
        <f t="shared" si="14"/>
        <v>-2.4592</v>
      </c>
      <c r="H33" s="20">
        <f t="shared" si="14"/>
        <v>-3.60170000000001</v>
      </c>
      <c r="I33" s="20">
        <f t="shared" si="14"/>
        <v>-6.15310000000001</v>
      </c>
      <c r="J33" s="20">
        <f t="shared" si="14"/>
        <v>-2.98790000000001</v>
      </c>
      <c r="K33" s="20">
        <f t="shared" si="14"/>
        <v>-2.1767</v>
      </c>
      <c r="L33" s="20">
        <f t="shared" si="14"/>
        <v>0.984099999999998</v>
      </c>
      <c r="M33" s="20">
        <f t="shared" si="14"/>
        <v>-0.0931000000000068</v>
      </c>
      <c r="N33" s="20">
        <f t="shared" si="14"/>
        <v>-8.1944</v>
      </c>
      <c r="O33" s="20">
        <f t="shared" si="14"/>
        <v>-3.0472</v>
      </c>
      <c r="P33" s="20">
        <f t="shared" si="14"/>
        <v>0.340099999999993</v>
      </c>
      <c r="Q33" s="20">
        <f t="shared" si="14"/>
        <v>-3.1116</v>
      </c>
      <c r="R33" s="20">
        <f t="shared" si="14"/>
        <v>-2.7171</v>
      </c>
      <c r="S33" s="20">
        <f t="shared" si="14"/>
        <v>-0.483999999999995</v>
      </c>
      <c r="T33" s="20">
        <f t="shared" si="14"/>
        <v>-5.14700000000001</v>
      </c>
      <c r="U33" s="20">
        <f t="shared" si="14"/>
        <v>-6.5561</v>
      </c>
      <c r="V33" s="20">
        <f t="shared" si="14"/>
        <v>-7.4357</v>
      </c>
      <c r="W33" s="20">
        <f t="shared" si="14"/>
        <v>-5.3477</v>
      </c>
      <c r="X33" s="20">
        <f t="shared" si="14"/>
        <v>-4.21839999999999</v>
      </c>
      <c r="Y33" s="20">
        <f t="shared" si="14"/>
        <v>-4.3661</v>
      </c>
      <c r="Z33" s="20">
        <f t="shared" si="14"/>
        <v>-4.66930000000001</v>
      </c>
      <c r="AA33" s="20">
        <f t="shared" si="14"/>
        <v>-2.73490000000001</v>
      </c>
      <c r="AB33" s="23">
        <f t="shared" si="14"/>
        <v>-90.2814000000003</v>
      </c>
    </row>
    <row r="34" s="1" customFormat="1" ht="20" hidden="1" customHeight="1" spans="1:28">
      <c r="A34" s="15">
        <v>46123</v>
      </c>
      <c r="B34" s="16">
        <v>4303121811816</v>
      </c>
      <c r="C34" s="17" t="s">
        <v>37</v>
      </c>
      <c r="D34" s="18">
        <v>92.33</v>
      </c>
      <c r="E34" s="18">
        <v>95.71</v>
      </c>
      <c r="F34" s="18">
        <v>96.69</v>
      </c>
      <c r="G34" s="18">
        <v>97.81</v>
      </c>
      <c r="H34" s="18">
        <v>96.88</v>
      </c>
      <c r="I34" s="18">
        <v>93.71</v>
      </c>
      <c r="J34" s="18">
        <v>93.62</v>
      </c>
      <c r="K34" s="18">
        <v>93.58</v>
      </c>
      <c r="L34" s="18">
        <v>99.79</v>
      </c>
      <c r="M34" s="18">
        <v>99.81</v>
      </c>
      <c r="N34" s="18">
        <v>98.66</v>
      </c>
      <c r="O34" s="18">
        <v>97.74</v>
      </c>
      <c r="P34" s="18">
        <v>98.63</v>
      </c>
      <c r="Q34" s="18">
        <v>98.58</v>
      </c>
      <c r="R34" s="18">
        <v>99.78</v>
      </c>
      <c r="S34" s="18">
        <v>99.91</v>
      </c>
      <c r="T34" s="18">
        <v>99.89</v>
      </c>
      <c r="U34" s="18">
        <v>100.84</v>
      </c>
      <c r="V34" s="18">
        <v>97.66</v>
      </c>
      <c r="W34" s="18">
        <v>93.58</v>
      </c>
      <c r="X34" s="18">
        <v>99.51</v>
      </c>
      <c r="Y34" s="18">
        <v>98.66</v>
      </c>
      <c r="Z34" s="18">
        <v>96.71</v>
      </c>
      <c r="AA34" s="18">
        <v>92.76</v>
      </c>
      <c r="AB34" s="22">
        <f t="shared" ref="AB34:AB38" si="15">SUM(D34:AA34)</f>
        <v>2332.84</v>
      </c>
    </row>
    <row r="35" s="1" customFormat="1" ht="20" customHeight="1" spans="1:29">
      <c r="A35" s="15"/>
      <c r="B35" s="16"/>
      <c r="C35" s="17" t="s">
        <v>38</v>
      </c>
      <c r="D35" s="20">
        <v>98.7994</v>
      </c>
      <c r="E35" s="20">
        <v>101.7023</v>
      </c>
      <c r="F35" s="20">
        <v>100.7759</v>
      </c>
      <c r="G35" s="20">
        <v>100.2989</v>
      </c>
      <c r="H35" s="20">
        <v>101.1483</v>
      </c>
      <c r="I35" s="20">
        <v>100.5347</v>
      </c>
      <c r="J35" s="20">
        <v>98.692</v>
      </c>
      <c r="K35" s="20">
        <v>95.3849</v>
      </c>
      <c r="L35" s="20">
        <v>104.2448</v>
      </c>
      <c r="M35" s="20">
        <v>102.5076</v>
      </c>
      <c r="N35" s="20">
        <v>105.7901</v>
      </c>
      <c r="O35" s="20">
        <v>97.9158</v>
      </c>
      <c r="P35" s="20">
        <v>97.981</v>
      </c>
      <c r="Q35" s="20">
        <v>97.3069</v>
      </c>
      <c r="R35" s="20">
        <v>105.5648</v>
      </c>
      <c r="S35" s="20">
        <v>106.1791</v>
      </c>
      <c r="T35" s="20">
        <v>104.7711</v>
      </c>
      <c r="U35" s="20">
        <v>105.3765</v>
      </c>
      <c r="V35" s="20">
        <v>103.342</v>
      </c>
      <c r="W35" s="20">
        <v>97.291</v>
      </c>
      <c r="X35" s="20">
        <v>103.4387</v>
      </c>
      <c r="Y35" s="20">
        <v>101.5995</v>
      </c>
      <c r="Z35" s="20">
        <v>100.1176</v>
      </c>
      <c r="AA35" s="20">
        <v>95.876</v>
      </c>
      <c r="AB35" s="22">
        <f t="shared" si="15"/>
        <v>2426.6389</v>
      </c>
      <c r="AC35" s="21">
        <f>MAX(D35:AA35)</f>
        <v>106.1791</v>
      </c>
    </row>
    <row r="36" s="1" customFormat="1" ht="20" hidden="1" customHeight="1" spans="1:28">
      <c r="A36" s="15"/>
      <c r="B36" s="16"/>
      <c r="C36" s="17" t="s">
        <v>39</v>
      </c>
      <c r="D36" s="20">
        <f t="shared" ref="D36:AB36" si="16">D34-D35</f>
        <v>-6.46940000000001</v>
      </c>
      <c r="E36" s="20">
        <f t="shared" si="16"/>
        <v>-5.9923</v>
      </c>
      <c r="F36" s="20">
        <f t="shared" si="16"/>
        <v>-4.0859</v>
      </c>
      <c r="G36" s="20">
        <f t="shared" si="16"/>
        <v>-2.4889</v>
      </c>
      <c r="H36" s="20">
        <f t="shared" si="16"/>
        <v>-4.26830000000001</v>
      </c>
      <c r="I36" s="20">
        <f t="shared" si="16"/>
        <v>-6.82470000000001</v>
      </c>
      <c r="J36" s="20">
        <f t="shared" si="16"/>
        <v>-5.07199999999999</v>
      </c>
      <c r="K36" s="20">
        <f t="shared" si="16"/>
        <v>-1.8049</v>
      </c>
      <c r="L36" s="20">
        <f t="shared" si="16"/>
        <v>-4.45479999999999</v>
      </c>
      <c r="M36" s="20">
        <f t="shared" si="16"/>
        <v>-2.69759999999999</v>
      </c>
      <c r="N36" s="20">
        <f t="shared" si="16"/>
        <v>-7.1301</v>
      </c>
      <c r="O36" s="20">
        <f t="shared" si="16"/>
        <v>-0.17580000000001</v>
      </c>
      <c r="P36" s="20">
        <f t="shared" si="16"/>
        <v>0.649000000000001</v>
      </c>
      <c r="Q36" s="20">
        <f t="shared" si="16"/>
        <v>1.2731</v>
      </c>
      <c r="R36" s="20">
        <f t="shared" si="16"/>
        <v>-5.7848</v>
      </c>
      <c r="S36" s="20">
        <f t="shared" si="16"/>
        <v>-6.26910000000001</v>
      </c>
      <c r="T36" s="20">
        <f t="shared" si="16"/>
        <v>-4.8811</v>
      </c>
      <c r="U36" s="20">
        <f t="shared" si="16"/>
        <v>-4.53649999999999</v>
      </c>
      <c r="V36" s="20">
        <f t="shared" si="16"/>
        <v>-5.682</v>
      </c>
      <c r="W36" s="20">
        <f t="shared" si="16"/>
        <v>-3.711</v>
      </c>
      <c r="X36" s="20">
        <f t="shared" si="16"/>
        <v>-3.92869999999999</v>
      </c>
      <c r="Y36" s="20">
        <f t="shared" si="16"/>
        <v>-2.93950000000001</v>
      </c>
      <c r="Z36" s="20">
        <f t="shared" si="16"/>
        <v>-3.4076</v>
      </c>
      <c r="AA36" s="20">
        <f t="shared" si="16"/>
        <v>-3.116</v>
      </c>
      <c r="AB36" s="23">
        <f t="shared" si="16"/>
        <v>-93.7989000000002</v>
      </c>
    </row>
    <row r="37" s="1" customFormat="1" ht="20" hidden="1" customHeight="1" spans="1:28">
      <c r="A37" s="15">
        <v>46124</v>
      </c>
      <c r="B37" s="16">
        <v>4303121811816</v>
      </c>
      <c r="C37" s="17" t="s">
        <v>37</v>
      </c>
      <c r="D37" s="18">
        <v>91.71</v>
      </c>
      <c r="E37" s="18">
        <v>95.66</v>
      </c>
      <c r="F37" s="18">
        <v>95.41</v>
      </c>
      <c r="G37" s="18">
        <v>95.81</v>
      </c>
      <c r="H37" s="18">
        <v>95.66</v>
      </c>
      <c r="I37" s="18">
        <v>92.32</v>
      </c>
      <c r="J37" s="18">
        <v>86.62</v>
      </c>
      <c r="K37" s="18">
        <v>80.66</v>
      </c>
      <c r="L37" s="18">
        <v>86.28</v>
      </c>
      <c r="M37" s="18">
        <v>85.11</v>
      </c>
      <c r="N37" s="18">
        <v>80.75</v>
      </c>
      <c r="O37" s="18">
        <v>76.33</v>
      </c>
      <c r="P37" s="18">
        <v>75.82</v>
      </c>
      <c r="Q37" s="18">
        <v>80.58</v>
      </c>
      <c r="R37" s="18">
        <v>83.66</v>
      </c>
      <c r="S37" s="18">
        <v>83.15</v>
      </c>
      <c r="T37" s="18">
        <v>83.34</v>
      </c>
      <c r="U37" s="18">
        <v>82.66</v>
      </c>
      <c r="V37" s="18">
        <v>80.74</v>
      </c>
      <c r="W37" s="18">
        <v>77.28</v>
      </c>
      <c r="X37" s="18">
        <v>81.54</v>
      </c>
      <c r="Y37" s="18">
        <v>83.38</v>
      </c>
      <c r="Z37" s="18">
        <v>81.62</v>
      </c>
      <c r="AA37" s="18">
        <v>78.88</v>
      </c>
      <c r="AB37" s="22">
        <f t="shared" si="15"/>
        <v>2034.97</v>
      </c>
    </row>
    <row r="38" s="1" customFormat="1" ht="20" customHeight="1" spans="1:29">
      <c r="A38" s="15"/>
      <c r="B38" s="16"/>
      <c r="C38" s="17" t="s">
        <v>38</v>
      </c>
      <c r="D38" s="19">
        <v>94.7268</v>
      </c>
      <c r="E38" s="19">
        <v>97.1907</v>
      </c>
      <c r="F38" s="19">
        <v>97.7592</v>
      </c>
      <c r="G38" s="19">
        <v>97.7364</v>
      </c>
      <c r="H38" s="19">
        <v>98.1939</v>
      </c>
      <c r="I38" s="19">
        <v>95.6419</v>
      </c>
      <c r="J38" s="19">
        <v>89.6086</v>
      </c>
      <c r="K38" s="19">
        <v>84.2706</v>
      </c>
      <c r="L38" s="19">
        <v>87.6444</v>
      </c>
      <c r="M38" s="19">
        <v>87.1217</v>
      </c>
      <c r="N38" s="19">
        <v>85.302</v>
      </c>
      <c r="O38" s="19">
        <v>83.1354</v>
      </c>
      <c r="P38" s="19">
        <v>83.8921</v>
      </c>
      <c r="Q38" s="19">
        <v>86.4582</v>
      </c>
      <c r="R38" s="19">
        <v>86.6431</v>
      </c>
      <c r="S38" s="19">
        <v>88.2957</v>
      </c>
      <c r="T38" s="19">
        <v>87.7448</v>
      </c>
      <c r="U38" s="19">
        <v>87.9172</v>
      </c>
      <c r="V38" s="19">
        <v>85.7578</v>
      </c>
      <c r="W38" s="19">
        <v>85.58</v>
      </c>
      <c r="X38" s="19">
        <v>87.6885</v>
      </c>
      <c r="Y38" s="19">
        <v>88.8641</v>
      </c>
      <c r="Z38" s="19">
        <v>87.5723</v>
      </c>
      <c r="AA38" s="19">
        <v>85.2737</v>
      </c>
      <c r="AB38" s="22">
        <f t="shared" si="15"/>
        <v>2140.0191</v>
      </c>
      <c r="AC38" s="21">
        <f>MAX(D38:AA38)</f>
        <v>98.1939</v>
      </c>
    </row>
    <row r="39" s="1" customFormat="1" ht="20" hidden="1" customHeight="1" spans="1:28">
      <c r="A39" s="15"/>
      <c r="B39" s="16"/>
      <c r="C39" s="17" t="s">
        <v>39</v>
      </c>
      <c r="D39" s="20">
        <f t="shared" ref="D39:AB39" si="17">D37-D38</f>
        <v>-3.0168</v>
      </c>
      <c r="E39" s="20">
        <f t="shared" si="17"/>
        <v>-1.53070000000001</v>
      </c>
      <c r="F39" s="20">
        <f t="shared" si="17"/>
        <v>-2.34920000000001</v>
      </c>
      <c r="G39" s="20">
        <f t="shared" si="17"/>
        <v>-1.9264</v>
      </c>
      <c r="H39" s="20">
        <f t="shared" si="17"/>
        <v>-2.5339</v>
      </c>
      <c r="I39" s="20">
        <f t="shared" si="17"/>
        <v>-3.32190000000001</v>
      </c>
      <c r="J39" s="20">
        <f t="shared" si="17"/>
        <v>-2.98859999999999</v>
      </c>
      <c r="K39" s="20">
        <f t="shared" si="17"/>
        <v>-3.6106</v>
      </c>
      <c r="L39" s="20">
        <f t="shared" si="17"/>
        <v>-1.3644</v>
      </c>
      <c r="M39" s="20">
        <f t="shared" si="17"/>
        <v>-2.0117</v>
      </c>
      <c r="N39" s="20">
        <f t="shared" si="17"/>
        <v>-4.55200000000001</v>
      </c>
      <c r="O39" s="20">
        <f t="shared" si="17"/>
        <v>-6.80540000000001</v>
      </c>
      <c r="P39" s="20">
        <f t="shared" si="17"/>
        <v>-8.07210000000001</v>
      </c>
      <c r="Q39" s="20">
        <f t="shared" si="17"/>
        <v>-5.87820000000001</v>
      </c>
      <c r="R39" s="20">
        <f t="shared" si="17"/>
        <v>-2.98310000000001</v>
      </c>
      <c r="S39" s="20">
        <f t="shared" si="17"/>
        <v>-5.14569999999999</v>
      </c>
      <c r="T39" s="20">
        <f t="shared" si="17"/>
        <v>-4.40479999999999</v>
      </c>
      <c r="U39" s="20">
        <f t="shared" si="17"/>
        <v>-5.2572</v>
      </c>
      <c r="V39" s="20">
        <f t="shared" si="17"/>
        <v>-5.01780000000001</v>
      </c>
      <c r="W39" s="20">
        <f t="shared" si="17"/>
        <v>-8.3</v>
      </c>
      <c r="X39" s="20">
        <f t="shared" si="17"/>
        <v>-6.1485</v>
      </c>
      <c r="Y39" s="20">
        <f t="shared" si="17"/>
        <v>-5.4841</v>
      </c>
      <c r="Z39" s="20">
        <f t="shared" si="17"/>
        <v>-5.95229999999999</v>
      </c>
      <c r="AA39" s="20">
        <f t="shared" si="17"/>
        <v>-6.39370000000001</v>
      </c>
      <c r="AB39" s="22">
        <f t="shared" si="17"/>
        <v>-105.049100000001</v>
      </c>
    </row>
    <row r="40" s="1" customFormat="1" ht="20" hidden="1" customHeight="1" spans="1:28">
      <c r="A40" s="15">
        <v>46125</v>
      </c>
      <c r="B40" s="16">
        <v>4303121811816</v>
      </c>
      <c r="C40" s="17" t="s">
        <v>37</v>
      </c>
      <c r="D40" s="18">
        <v>78.51</v>
      </c>
      <c r="E40" s="18">
        <v>82.33</v>
      </c>
      <c r="F40" s="18">
        <v>82.31</v>
      </c>
      <c r="G40" s="18">
        <v>82.28</v>
      </c>
      <c r="H40" s="18">
        <v>84.63</v>
      </c>
      <c r="I40" s="18">
        <v>85.87</v>
      </c>
      <c r="J40" s="18">
        <v>84.66</v>
      </c>
      <c r="K40" s="18">
        <v>99.58</v>
      </c>
      <c r="L40" s="18">
        <v>99.89</v>
      </c>
      <c r="M40" s="18">
        <v>99.98</v>
      </c>
      <c r="N40" s="18">
        <v>98.57</v>
      </c>
      <c r="O40" s="18">
        <v>94.62</v>
      </c>
      <c r="P40" s="18">
        <v>98.58</v>
      </c>
      <c r="Q40" s="18">
        <v>98.62</v>
      </c>
      <c r="R40" s="18">
        <v>100.38</v>
      </c>
      <c r="S40" s="18">
        <v>100.54</v>
      </c>
      <c r="T40" s="18">
        <v>100.66</v>
      </c>
      <c r="U40" s="18">
        <v>101.28</v>
      </c>
      <c r="V40" s="18">
        <v>97.58</v>
      </c>
      <c r="W40" s="18">
        <v>93.62</v>
      </c>
      <c r="X40" s="18">
        <v>99.89</v>
      </c>
      <c r="Y40" s="18">
        <v>98.74</v>
      </c>
      <c r="Z40" s="18">
        <v>96.58</v>
      </c>
      <c r="AA40" s="18">
        <v>93.62</v>
      </c>
      <c r="AB40" s="22">
        <f t="shared" ref="AB40:AB44" si="18">SUM(D40:AA40)</f>
        <v>2253.32</v>
      </c>
    </row>
    <row r="41" s="1" customFormat="1" ht="20" customHeight="1" spans="1:29">
      <c r="A41" s="15"/>
      <c r="B41" s="16"/>
      <c r="C41" s="17" t="s">
        <v>38</v>
      </c>
      <c r="D41" s="20">
        <v>83.9661</v>
      </c>
      <c r="E41" s="20">
        <v>87.766</v>
      </c>
      <c r="F41" s="20">
        <v>87.882</v>
      </c>
      <c r="G41" s="20">
        <v>87.824</v>
      </c>
      <c r="H41" s="20">
        <v>87.7824</v>
      </c>
      <c r="I41" s="20">
        <v>88.7093</v>
      </c>
      <c r="J41" s="20">
        <v>86.8965</v>
      </c>
      <c r="K41" s="20">
        <v>89.3403</v>
      </c>
      <c r="L41" s="20">
        <v>104.9118</v>
      </c>
      <c r="M41" s="20">
        <v>107.7718</v>
      </c>
      <c r="N41" s="20">
        <v>103.451</v>
      </c>
      <c r="O41" s="20">
        <v>100.7724</v>
      </c>
      <c r="P41" s="20">
        <v>96.492</v>
      </c>
      <c r="Q41" s="20">
        <v>104.0758</v>
      </c>
      <c r="R41" s="20">
        <v>104.8556</v>
      </c>
      <c r="S41" s="20">
        <v>105.6898</v>
      </c>
      <c r="T41" s="20">
        <v>107.3072</v>
      </c>
      <c r="U41" s="20">
        <v>103.2909</v>
      </c>
      <c r="V41" s="20">
        <v>98.5776</v>
      </c>
      <c r="W41" s="20">
        <v>98.5055</v>
      </c>
      <c r="X41" s="20">
        <v>101.7597</v>
      </c>
      <c r="Y41" s="20">
        <v>100.5787</v>
      </c>
      <c r="Z41" s="20">
        <v>100.2478</v>
      </c>
      <c r="AA41" s="20">
        <v>96.9144</v>
      </c>
      <c r="AB41" s="22">
        <f t="shared" si="18"/>
        <v>2335.3686</v>
      </c>
      <c r="AC41" s="21">
        <f>MAX(D41:AA41)</f>
        <v>107.7718</v>
      </c>
    </row>
    <row r="42" s="1" customFormat="1" ht="20" hidden="1" customHeight="1" spans="1:28">
      <c r="A42" s="15"/>
      <c r="B42" s="16"/>
      <c r="C42" s="17" t="s">
        <v>39</v>
      </c>
      <c r="D42" s="20">
        <f t="shared" ref="D42:AB42" si="19">D40-D41</f>
        <v>-5.45609999999999</v>
      </c>
      <c r="E42" s="20">
        <f t="shared" si="19"/>
        <v>-5.43600000000001</v>
      </c>
      <c r="F42" s="20">
        <f t="shared" si="19"/>
        <v>-5.572</v>
      </c>
      <c r="G42" s="20">
        <f t="shared" si="19"/>
        <v>-5.544</v>
      </c>
      <c r="H42" s="20">
        <f t="shared" si="19"/>
        <v>-3.1524</v>
      </c>
      <c r="I42" s="20">
        <f t="shared" si="19"/>
        <v>-2.83929999999999</v>
      </c>
      <c r="J42" s="20">
        <f t="shared" si="19"/>
        <v>-2.23650000000001</v>
      </c>
      <c r="K42" s="20">
        <f t="shared" si="19"/>
        <v>10.2397</v>
      </c>
      <c r="L42" s="20">
        <f t="shared" si="19"/>
        <v>-5.0218</v>
      </c>
      <c r="M42" s="20">
        <f t="shared" si="19"/>
        <v>-7.79179999999999</v>
      </c>
      <c r="N42" s="20">
        <f t="shared" si="19"/>
        <v>-4.881</v>
      </c>
      <c r="O42" s="20">
        <f t="shared" si="19"/>
        <v>-6.1524</v>
      </c>
      <c r="P42" s="20">
        <f t="shared" si="19"/>
        <v>2.08799999999999</v>
      </c>
      <c r="Q42" s="20">
        <f t="shared" si="19"/>
        <v>-5.4558</v>
      </c>
      <c r="R42" s="20">
        <f t="shared" si="19"/>
        <v>-4.4756</v>
      </c>
      <c r="S42" s="20">
        <f t="shared" si="19"/>
        <v>-5.1498</v>
      </c>
      <c r="T42" s="20">
        <f t="shared" si="19"/>
        <v>-6.6472</v>
      </c>
      <c r="U42" s="20">
        <f t="shared" si="19"/>
        <v>-2.01089999999999</v>
      </c>
      <c r="V42" s="20">
        <f t="shared" si="19"/>
        <v>-0.997600000000006</v>
      </c>
      <c r="W42" s="20">
        <f t="shared" si="19"/>
        <v>-4.88549999999999</v>
      </c>
      <c r="X42" s="20">
        <f t="shared" si="19"/>
        <v>-1.86969999999999</v>
      </c>
      <c r="Y42" s="20">
        <f t="shared" si="19"/>
        <v>-1.8387</v>
      </c>
      <c r="Z42" s="20">
        <f t="shared" si="19"/>
        <v>-3.6678</v>
      </c>
      <c r="AA42" s="20">
        <f t="shared" si="19"/>
        <v>-3.2944</v>
      </c>
      <c r="AB42" s="22">
        <f t="shared" si="19"/>
        <v>-82.0486000000005</v>
      </c>
    </row>
    <row r="43" s="1" customFormat="1" ht="20" hidden="1" customHeight="1" spans="1:28">
      <c r="A43" s="15">
        <v>46126</v>
      </c>
      <c r="B43" s="16">
        <v>4303121811816</v>
      </c>
      <c r="C43" s="17" t="s">
        <v>37</v>
      </c>
      <c r="D43" s="18">
        <v>92.54</v>
      </c>
      <c r="E43" s="18">
        <v>95.66</v>
      </c>
      <c r="F43" s="18">
        <v>96.75</v>
      </c>
      <c r="G43" s="18">
        <v>97.58</v>
      </c>
      <c r="H43" s="18">
        <v>96.71</v>
      </c>
      <c r="I43" s="18">
        <v>93.66</v>
      </c>
      <c r="J43" s="18">
        <v>93.81</v>
      </c>
      <c r="K43" s="18">
        <v>93.62</v>
      </c>
      <c r="L43" s="18">
        <v>99.98</v>
      </c>
      <c r="M43" s="18">
        <v>96.55</v>
      </c>
      <c r="N43" s="18">
        <v>94.35</v>
      </c>
      <c r="O43" s="18">
        <v>92.71</v>
      </c>
      <c r="P43" s="18">
        <v>94.33</v>
      </c>
      <c r="Q43" s="18">
        <v>96.28</v>
      </c>
      <c r="R43" s="18">
        <v>96.88</v>
      </c>
      <c r="S43" s="18">
        <v>100.68</v>
      </c>
      <c r="T43" s="18">
        <v>102.87</v>
      </c>
      <c r="U43" s="18">
        <v>103.21</v>
      </c>
      <c r="V43" s="18">
        <v>99.28</v>
      </c>
      <c r="W43" s="18">
        <v>97.66</v>
      </c>
      <c r="X43" s="18">
        <v>100.58</v>
      </c>
      <c r="Y43" s="18">
        <v>100.88</v>
      </c>
      <c r="Z43" s="18">
        <v>100.62</v>
      </c>
      <c r="AA43" s="18">
        <v>94.33</v>
      </c>
      <c r="AB43" s="22">
        <f t="shared" si="18"/>
        <v>2331.52</v>
      </c>
    </row>
    <row r="44" s="1" customFormat="1" ht="20" customHeight="1" spans="1:29">
      <c r="A44" s="15"/>
      <c r="B44" s="16"/>
      <c r="C44" s="17" t="s">
        <v>38</v>
      </c>
      <c r="D44" s="19">
        <v>94.7878</v>
      </c>
      <c r="E44" s="19">
        <v>98.3417</v>
      </c>
      <c r="F44" s="19">
        <v>97.7645</v>
      </c>
      <c r="G44" s="19">
        <v>99.7322</v>
      </c>
      <c r="H44" s="19">
        <v>99.5204</v>
      </c>
      <c r="I44" s="19">
        <v>97.6747</v>
      </c>
      <c r="J44" s="19">
        <v>95.876</v>
      </c>
      <c r="K44" s="19">
        <v>94.3536</v>
      </c>
      <c r="L44" s="19">
        <v>104.4173</v>
      </c>
      <c r="M44" s="19">
        <v>104.9453</v>
      </c>
      <c r="N44" s="19">
        <v>103.8963</v>
      </c>
      <c r="O44" s="19">
        <v>99.2711</v>
      </c>
      <c r="P44" s="19">
        <v>97.071</v>
      </c>
      <c r="Q44" s="19">
        <v>103.2909</v>
      </c>
      <c r="R44" s="19">
        <v>103.2715</v>
      </c>
      <c r="S44" s="19">
        <v>104.7921</v>
      </c>
      <c r="T44" s="19">
        <v>105.1635</v>
      </c>
      <c r="U44" s="19">
        <v>104.7129</v>
      </c>
      <c r="V44" s="19">
        <v>99.3327</v>
      </c>
      <c r="W44" s="19">
        <v>96.0502</v>
      </c>
      <c r="X44" s="19">
        <v>101.3566</v>
      </c>
      <c r="Y44" s="19">
        <v>100.5101</v>
      </c>
      <c r="Z44" s="19">
        <v>98.1376</v>
      </c>
      <c r="AA44" s="19">
        <v>95.7493</v>
      </c>
      <c r="AB44" s="22">
        <f t="shared" si="18"/>
        <v>2400.0193</v>
      </c>
      <c r="AC44" s="21">
        <f>MAX(D44:AA44)</f>
        <v>105.1635</v>
      </c>
    </row>
    <row r="45" s="1" customFormat="1" ht="20" hidden="1" customHeight="1" spans="1:28">
      <c r="A45" s="15"/>
      <c r="B45" s="16"/>
      <c r="C45" s="17" t="s">
        <v>39</v>
      </c>
      <c r="D45" s="20">
        <f t="shared" ref="D45:AB45" si="20">D43-D44</f>
        <v>-2.2478</v>
      </c>
      <c r="E45" s="20">
        <f t="shared" si="20"/>
        <v>-2.68170000000001</v>
      </c>
      <c r="F45" s="20">
        <f t="shared" si="20"/>
        <v>-1.0145</v>
      </c>
      <c r="G45" s="20">
        <f t="shared" si="20"/>
        <v>-2.15220000000001</v>
      </c>
      <c r="H45" s="20">
        <f t="shared" si="20"/>
        <v>-2.8104</v>
      </c>
      <c r="I45" s="20">
        <f t="shared" si="20"/>
        <v>-4.0147</v>
      </c>
      <c r="J45" s="20">
        <f t="shared" si="20"/>
        <v>-2.066</v>
      </c>
      <c r="K45" s="20">
        <f t="shared" si="20"/>
        <v>-0.733599999999996</v>
      </c>
      <c r="L45" s="20">
        <f t="shared" si="20"/>
        <v>-4.43729999999999</v>
      </c>
      <c r="M45" s="20">
        <f t="shared" si="20"/>
        <v>-8.39530000000001</v>
      </c>
      <c r="N45" s="20">
        <f t="shared" si="20"/>
        <v>-9.5463</v>
      </c>
      <c r="O45" s="20">
        <f t="shared" si="20"/>
        <v>-6.56110000000001</v>
      </c>
      <c r="P45" s="20">
        <f t="shared" si="20"/>
        <v>-2.741</v>
      </c>
      <c r="Q45" s="20">
        <f t="shared" si="20"/>
        <v>-7.01089999999999</v>
      </c>
      <c r="R45" s="20">
        <f t="shared" si="20"/>
        <v>-6.39150000000001</v>
      </c>
      <c r="S45" s="20">
        <f t="shared" si="20"/>
        <v>-4.1121</v>
      </c>
      <c r="T45" s="20">
        <f t="shared" si="20"/>
        <v>-2.29349999999999</v>
      </c>
      <c r="U45" s="20">
        <f t="shared" si="20"/>
        <v>-1.50290000000001</v>
      </c>
      <c r="V45" s="20">
        <f t="shared" si="20"/>
        <v>-0.0527000000000015</v>
      </c>
      <c r="W45" s="20">
        <f t="shared" si="20"/>
        <v>1.60979999999999</v>
      </c>
      <c r="X45" s="20">
        <f t="shared" si="20"/>
        <v>-0.776600000000002</v>
      </c>
      <c r="Y45" s="20">
        <f t="shared" si="20"/>
        <v>0.369900000000001</v>
      </c>
      <c r="Z45" s="20">
        <f t="shared" si="20"/>
        <v>2.4824</v>
      </c>
      <c r="AA45" s="20">
        <f t="shared" si="20"/>
        <v>-1.41930000000001</v>
      </c>
      <c r="AB45" s="22">
        <f t="shared" si="20"/>
        <v>-68.4992999999995</v>
      </c>
    </row>
    <row r="46" s="1" customFormat="1" ht="20" hidden="1" customHeight="1" spans="1:28">
      <c r="A46" s="15">
        <v>46127</v>
      </c>
      <c r="B46" s="16">
        <v>4303121811816</v>
      </c>
      <c r="C46" s="17" t="s">
        <v>37</v>
      </c>
      <c r="D46" s="18">
        <v>92.33</v>
      </c>
      <c r="E46" s="18">
        <v>95.71</v>
      </c>
      <c r="F46" s="18">
        <v>96.58</v>
      </c>
      <c r="G46" s="18">
        <v>97.66</v>
      </c>
      <c r="H46" s="18">
        <v>95.87</v>
      </c>
      <c r="I46" s="18">
        <v>93.84</v>
      </c>
      <c r="J46" s="18">
        <v>93.11</v>
      </c>
      <c r="K46" s="18">
        <v>93.35</v>
      </c>
      <c r="L46" s="18">
        <v>99.58</v>
      </c>
      <c r="M46" s="18">
        <v>96.66</v>
      </c>
      <c r="N46" s="18">
        <v>94.35</v>
      </c>
      <c r="O46" s="18">
        <v>92.66</v>
      </c>
      <c r="P46" s="18">
        <v>94.54</v>
      </c>
      <c r="Q46" s="18">
        <v>97.33</v>
      </c>
      <c r="R46" s="18">
        <v>96.76</v>
      </c>
      <c r="S46" s="18">
        <v>100.71</v>
      </c>
      <c r="T46" s="18">
        <v>103.28</v>
      </c>
      <c r="U46" s="18">
        <v>103.54</v>
      </c>
      <c r="V46" s="18">
        <v>99.33</v>
      </c>
      <c r="W46" s="18">
        <v>97.71</v>
      </c>
      <c r="X46" s="18">
        <v>100.66</v>
      </c>
      <c r="Y46" s="18">
        <v>100.68</v>
      </c>
      <c r="Z46" s="18">
        <v>100.55</v>
      </c>
      <c r="AA46" s="18">
        <v>94.41</v>
      </c>
      <c r="AB46" s="22">
        <f t="shared" ref="AB46:AB50" si="21">SUM(D46:AA46)</f>
        <v>2331.2</v>
      </c>
    </row>
    <row r="47" s="1" customFormat="1" ht="20" customHeight="1" spans="1:29">
      <c r="A47" s="15"/>
      <c r="B47" s="16"/>
      <c r="C47" s="17" t="s">
        <v>38</v>
      </c>
      <c r="D47" s="20">
        <v>95.2582</v>
      </c>
      <c r="E47" s="20">
        <v>97.8824</v>
      </c>
      <c r="F47" s="20">
        <v>98.5388</v>
      </c>
      <c r="G47" s="20">
        <v>99.3414</v>
      </c>
      <c r="H47" s="20">
        <v>99.3879</v>
      </c>
      <c r="I47" s="20">
        <v>98.5565</v>
      </c>
      <c r="J47" s="20">
        <v>93.0453</v>
      </c>
      <c r="K47" s="20">
        <v>95.0418</v>
      </c>
      <c r="L47" s="20">
        <v>105.2462</v>
      </c>
      <c r="M47" s="20">
        <v>103.3613</v>
      </c>
      <c r="N47" s="20">
        <v>104.5105</v>
      </c>
      <c r="O47" s="20">
        <v>99.9205</v>
      </c>
      <c r="P47" s="20">
        <v>100.3496</v>
      </c>
      <c r="Q47" s="20">
        <v>100.9378</v>
      </c>
      <c r="R47" s="20">
        <v>105.2286</v>
      </c>
      <c r="S47" s="20">
        <v>104.4314</v>
      </c>
      <c r="T47" s="20">
        <v>105.8605</v>
      </c>
      <c r="U47" s="20">
        <v>104.1973</v>
      </c>
      <c r="V47" s="20">
        <v>101.156</v>
      </c>
      <c r="W47" s="20">
        <v>95.92</v>
      </c>
      <c r="X47" s="20">
        <v>99.7198</v>
      </c>
      <c r="Y47" s="20">
        <v>101.369</v>
      </c>
      <c r="Z47" s="20">
        <v>100.642</v>
      </c>
      <c r="AA47" s="20">
        <v>97.0921</v>
      </c>
      <c r="AB47" s="22">
        <f t="shared" si="21"/>
        <v>2406.9949</v>
      </c>
      <c r="AC47" s="21">
        <f>MAX(D47:AA47)</f>
        <v>105.8605</v>
      </c>
    </row>
    <row r="48" s="1" customFormat="1" ht="20" hidden="1" customHeight="1" spans="1:28">
      <c r="A48" s="15"/>
      <c r="B48" s="16"/>
      <c r="C48" s="17" t="s">
        <v>39</v>
      </c>
      <c r="D48" s="20">
        <f t="shared" ref="D48:AB48" si="22">D46-D47</f>
        <v>-2.9282</v>
      </c>
      <c r="E48" s="20">
        <f t="shared" si="22"/>
        <v>-2.17240000000001</v>
      </c>
      <c r="F48" s="20">
        <f t="shared" si="22"/>
        <v>-1.9588</v>
      </c>
      <c r="G48" s="20">
        <f t="shared" si="22"/>
        <v>-1.6814</v>
      </c>
      <c r="H48" s="20">
        <f t="shared" si="22"/>
        <v>-3.5179</v>
      </c>
      <c r="I48" s="20">
        <f t="shared" si="22"/>
        <v>-4.7165</v>
      </c>
      <c r="J48" s="20">
        <f t="shared" si="22"/>
        <v>0.064700000000002</v>
      </c>
      <c r="K48" s="20">
        <f t="shared" si="22"/>
        <v>-1.6918</v>
      </c>
      <c r="L48" s="20">
        <f t="shared" si="22"/>
        <v>-5.6662</v>
      </c>
      <c r="M48" s="20">
        <f t="shared" si="22"/>
        <v>-6.7013</v>
      </c>
      <c r="N48" s="20">
        <f t="shared" si="22"/>
        <v>-10.1605</v>
      </c>
      <c r="O48" s="20">
        <f t="shared" si="22"/>
        <v>-7.26050000000001</v>
      </c>
      <c r="P48" s="20">
        <f t="shared" si="22"/>
        <v>-5.80959999999999</v>
      </c>
      <c r="Q48" s="20">
        <f t="shared" si="22"/>
        <v>-3.6078</v>
      </c>
      <c r="R48" s="20">
        <f t="shared" si="22"/>
        <v>-8.46859999999999</v>
      </c>
      <c r="S48" s="20">
        <f t="shared" si="22"/>
        <v>-3.7214</v>
      </c>
      <c r="T48" s="20">
        <f t="shared" si="22"/>
        <v>-2.5805</v>
      </c>
      <c r="U48" s="20">
        <f t="shared" si="22"/>
        <v>-0.657299999999992</v>
      </c>
      <c r="V48" s="20">
        <f t="shared" si="22"/>
        <v>-1.82600000000001</v>
      </c>
      <c r="W48" s="20">
        <f t="shared" si="22"/>
        <v>1.78999999999999</v>
      </c>
      <c r="X48" s="20">
        <f t="shared" si="22"/>
        <v>0.94019999999999</v>
      </c>
      <c r="Y48" s="20">
        <f t="shared" si="22"/>
        <v>-0.688999999999993</v>
      </c>
      <c r="Z48" s="20">
        <f t="shared" si="22"/>
        <v>-0.0919999999999987</v>
      </c>
      <c r="AA48" s="20">
        <f t="shared" si="22"/>
        <v>-2.68210000000001</v>
      </c>
      <c r="AB48" s="22">
        <f t="shared" si="22"/>
        <v>-75.7948999999999</v>
      </c>
    </row>
    <row r="49" s="1" customFormat="1" ht="20" hidden="1" customHeight="1" spans="1:28">
      <c r="A49" s="15">
        <v>46128</v>
      </c>
      <c r="B49" s="16">
        <v>4303121811816</v>
      </c>
      <c r="C49" s="17" t="s">
        <v>37</v>
      </c>
      <c r="D49" s="18">
        <v>98.58</v>
      </c>
      <c r="E49" s="18">
        <v>100.62</v>
      </c>
      <c r="F49" s="18">
        <v>100.58</v>
      </c>
      <c r="G49" s="18">
        <v>100.66</v>
      </c>
      <c r="H49" s="18">
        <v>100.32</v>
      </c>
      <c r="I49" s="18">
        <v>99.62</v>
      </c>
      <c r="J49" s="18">
        <v>96.88</v>
      </c>
      <c r="K49" s="18">
        <v>95.72</v>
      </c>
      <c r="L49" s="18">
        <v>98.58</v>
      </c>
      <c r="M49" s="18">
        <v>99.66</v>
      </c>
      <c r="N49" s="18">
        <v>102.33</v>
      </c>
      <c r="O49" s="18">
        <v>100.62</v>
      </c>
      <c r="P49" s="18">
        <v>98.54</v>
      </c>
      <c r="Q49" s="18">
        <v>101.66</v>
      </c>
      <c r="R49" s="18">
        <v>101.98</v>
      </c>
      <c r="S49" s="18">
        <v>101.33</v>
      </c>
      <c r="T49" s="18">
        <v>105.28</v>
      </c>
      <c r="U49" s="18">
        <v>104.55</v>
      </c>
      <c r="V49" s="18">
        <v>103.62</v>
      </c>
      <c r="W49" s="18">
        <v>99.22</v>
      </c>
      <c r="X49" s="18">
        <v>103.58</v>
      </c>
      <c r="Y49" s="18">
        <v>103.22</v>
      </c>
      <c r="Z49" s="18">
        <v>101.33</v>
      </c>
      <c r="AA49" s="18">
        <v>95.66</v>
      </c>
      <c r="AB49" s="22">
        <f t="shared" si="21"/>
        <v>2414.14</v>
      </c>
    </row>
    <row r="50" s="1" customFormat="1" ht="20" customHeight="1" spans="1:29">
      <c r="A50" s="15"/>
      <c r="B50" s="16"/>
      <c r="C50" s="17" t="s">
        <v>38</v>
      </c>
      <c r="D50" s="19">
        <v>95.1772</v>
      </c>
      <c r="E50" s="19">
        <v>99.7727</v>
      </c>
      <c r="F50" s="19">
        <v>99.4101</v>
      </c>
      <c r="G50" s="19">
        <v>99.8131</v>
      </c>
      <c r="H50" s="19">
        <v>99.716</v>
      </c>
      <c r="I50" s="19">
        <v>98.3681</v>
      </c>
      <c r="J50" s="19">
        <v>97.0904</v>
      </c>
      <c r="K50" s="19">
        <v>94.2709</v>
      </c>
      <c r="L50" s="19">
        <v>98.4703</v>
      </c>
      <c r="M50" s="19">
        <v>104.5194</v>
      </c>
      <c r="N50" s="19">
        <v>104.8625</v>
      </c>
      <c r="O50" s="19">
        <v>97.1344</v>
      </c>
      <c r="P50" s="19">
        <v>97.7592</v>
      </c>
      <c r="Q50" s="19">
        <v>102.1222</v>
      </c>
      <c r="R50" s="19">
        <v>103.1484</v>
      </c>
      <c r="S50" s="19">
        <v>104.236</v>
      </c>
      <c r="T50" s="19">
        <v>102.7031</v>
      </c>
      <c r="U50" s="19">
        <v>103.8031</v>
      </c>
      <c r="V50" s="19">
        <v>100.232</v>
      </c>
      <c r="W50" s="19">
        <v>97.7399</v>
      </c>
      <c r="X50" s="19">
        <v>101.6031</v>
      </c>
      <c r="Y50" s="19">
        <v>101.2757</v>
      </c>
      <c r="Z50" s="19">
        <v>101.4095</v>
      </c>
      <c r="AA50" s="19">
        <v>95.5363</v>
      </c>
      <c r="AB50" s="22">
        <f t="shared" si="21"/>
        <v>2400.1736</v>
      </c>
      <c r="AC50" s="21">
        <f>MAX(D50:AA50)</f>
        <v>104.8625</v>
      </c>
    </row>
    <row r="51" s="1" customFormat="1" ht="20" hidden="1" customHeight="1" spans="1:28">
      <c r="A51" s="15"/>
      <c r="B51" s="16"/>
      <c r="C51" s="17" t="s">
        <v>39</v>
      </c>
      <c r="D51" s="20">
        <f t="shared" ref="D51:AB51" si="23">D49-D50</f>
        <v>3.4028</v>
      </c>
      <c r="E51" s="20">
        <f t="shared" si="23"/>
        <v>0.847300000000004</v>
      </c>
      <c r="F51" s="20">
        <f t="shared" si="23"/>
        <v>1.1699</v>
      </c>
      <c r="G51" s="20">
        <f t="shared" si="23"/>
        <v>0.846899999999991</v>
      </c>
      <c r="H51" s="20">
        <f t="shared" si="23"/>
        <v>0.603999999999999</v>
      </c>
      <c r="I51" s="20">
        <f t="shared" si="23"/>
        <v>1.25190000000001</v>
      </c>
      <c r="J51" s="20">
        <f t="shared" si="23"/>
        <v>-0.210400000000007</v>
      </c>
      <c r="K51" s="20">
        <f t="shared" si="23"/>
        <v>1.4491</v>
      </c>
      <c r="L51" s="20">
        <f t="shared" si="23"/>
        <v>0.109700000000004</v>
      </c>
      <c r="M51" s="20">
        <f t="shared" si="23"/>
        <v>-4.85940000000001</v>
      </c>
      <c r="N51" s="20">
        <f t="shared" si="23"/>
        <v>-2.5325</v>
      </c>
      <c r="O51" s="20">
        <f t="shared" si="23"/>
        <v>3.4856</v>
      </c>
      <c r="P51" s="20">
        <f t="shared" si="23"/>
        <v>0.780799999999999</v>
      </c>
      <c r="Q51" s="20">
        <f t="shared" si="23"/>
        <v>-0.46220000000001</v>
      </c>
      <c r="R51" s="20">
        <f t="shared" si="23"/>
        <v>-1.16839999999999</v>
      </c>
      <c r="S51" s="20">
        <f t="shared" si="23"/>
        <v>-2.90600000000001</v>
      </c>
      <c r="T51" s="20">
        <f t="shared" si="23"/>
        <v>2.57689999999999</v>
      </c>
      <c r="U51" s="20">
        <f t="shared" si="23"/>
        <v>0.746899999999997</v>
      </c>
      <c r="V51" s="20">
        <f t="shared" si="23"/>
        <v>3.38800000000001</v>
      </c>
      <c r="W51" s="20">
        <f t="shared" si="23"/>
        <v>1.48009999999999</v>
      </c>
      <c r="X51" s="20">
        <f t="shared" si="23"/>
        <v>1.9769</v>
      </c>
      <c r="Y51" s="20">
        <f t="shared" si="23"/>
        <v>1.9443</v>
      </c>
      <c r="Z51" s="20">
        <f t="shared" si="23"/>
        <v>-0.0794999999999959</v>
      </c>
      <c r="AA51" s="20">
        <f t="shared" si="23"/>
        <v>0.123699999999999</v>
      </c>
      <c r="AB51" s="22">
        <f t="shared" si="23"/>
        <v>13.9663999999993</v>
      </c>
    </row>
    <row r="52" s="1" customFormat="1" ht="20" hidden="1" customHeight="1" spans="1:28">
      <c r="A52" s="15">
        <v>46129</v>
      </c>
      <c r="B52" s="16">
        <v>4303121811816</v>
      </c>
      <c r="C52" s="17" t="s">
        <v>37</v>
      </c>
      <c r="D52" s="18">
        <v>98.89</v>
      </c>
      <c r="E52" s="18">
        <v>100.22</v>
      </c>
      <c r="F52" s="18">
        <v>100.48</v>
      </c>
      <c r="G52" s="18">
        <v>100.71</v>
      </c>
      <c r="H52" s="18">
        <v>100.43</v>
      </c>
      <c r="I52" s="18">
        <v>99.58</v>
      </c>
      <c r="J52" s="18">
        <v>96.79</v>
      </c>
      <c r="K52" s="18">
        <v>95.66</v>
      </c>
      <c r="L52" s="18">
        <v>98.71</v>
      </c>
      <c r="M52" s="18">
        <v>99.84</v>
      </c>
      <c r="N52" s="18">
        <v>101.98</v>
      </c>
      <c r="O52" s="18">
        <v>100.55</v>
      </c>
      <c r="P52" s="18">
        <v>98.66</v>
      </c>
      <c r="Q52" s="18">
        <v>101.58</v>
      </c>
      <c r="R52" s="18">
        <v>101.99</v>
      </c>
      <c r="S52" s="18">
        <v>101.48</v>
      </c>
      <c r="T52" s="18">
        <v>104.33</v>
      </c>
      <c r="U52" s="18">
        <v>104.66</v>
      </c>
      <c r="V52" s="18">
        <v>103.57</v>
      </c>
      <c r="W52" s="18">
        <v>99.62</v>
      </c>
      <c r="X52" s="18">
        <v>103.85</v>
      </c>
      <c r="Y52" s="18">
        <v>103.18</v>
      </c>
      <c r="Z52" s="18">
        <v>101.54</v>
      </c>
      <c r="AA52" s="18">
        <v>95.71</v>
      </c>
      <c r="AB52" s="22">
        <f t="shared" ref="AB52:AB56" si="24">SUM(D52:AA52)</f>
        <v>2414.01</v>
      </c>
    </row>
    <row r="53" s="1" customFormat="1" ht="20" customHeight="1" spans="1:29">
      <c r="A53" s="15"/>
      <c r="B53" s="16"/>
      <c r="C53" s="17" t="s">
        <v>38</v>
      </c>
      <c r="D53" s="20">
        <v>95.7616</v>
      </c>
      <c r="E53" s="20">
        <v>99.3027</v>
      </c>
      <c r="F53" s="20">
        <v>100.8797</v>
      </c>
      <c r="G53" s="20">
        <v>100.51</v>
      </c>
      <c r="H53" s="20">
        <v>99.8395</v>
      </c>
      <c r="I53" s="20">
        <v>99.9785</v>
      </c>
      <c r="J53" s="20">
        <v>96.7808</v>
      </c>
      <c r="K53" s="20">
        <v>91.3687</v>
      </c>
      <c r="L53" s="20">
        <v>101.2229</v>
      </c>
      <c r="M53" s="20">
        <v>97.9932</v>
      </c>
      <c r="N53" s="20">
        <v>94.8742</v>
      </c>
      <c r="O53" s="20">
        <v>92.7397</v>
      </c>
      <c r="P53" s="20">
        <v>89.1123</v>
      </c>
      <c r="Q53" s="20">
        <v>97.5286</v>
      </c>
      <c r="R53" s="20">
        <v>104.7218</v>
      </c>
      <c r="S53" s="20">
        <v>104.2255</v>
      </c>
      <c r="T53" s="20">
        <v>103.9446</v>
      </c>
      <c r="U53" s="20">
        <v>102.7681</v>
      </c>
      <c r="V53" s="20">
        <v>101.2405</v>
      </c>
      <c r="W53" s="20">
        <v>96.6539</v>
      </c>
      <c r="X53" s="20">
        <v>100.246</v>
      </c>
      <c r="Y53" s="20">
        <v>102.9547</v>
      </c>
      <c r="Z53" s="20">
        <v>101.4481</v>
      </c>
      <c r="AA53" s="20">
        <v>97.3931</v>
      </c>
      <c r="AB53" s="22">
        <f t="shared" si="24"/>
        <v>2373.4887</v>
      </c>
      <c r="AC53" s="21">
        <f>MAX(D53:AA53)</f>
        <v>104.7218</v>
      </c>
    </row>
    <row r="54" s="1" customFormat="1" ht="20" hidden="1" customHeight="1" spans="1:28">
      <c r="A54" s="15"/>
      <c r="B54" s="16"/>
      <c r="C54" s="17" t="s">
        <v>39</v>
      </c>
      <c r="D54" s="20">
        <f t="shared" ref="D54:AB54" si="25">D52-D53</f>
        <v>3.1284</v>
      </c>
      <c r="E54" s="20">
        <f t="shared" si="25"/>
        <v>0.917299999999997</v>
      </c>
      <c r="F54" s="20">
        <f t="shared" si="25"/>
        <v>-0.399699999999996</v>
      </c>
      <c r="G54" s="20">
        <f t="shared" si="25"/>
        <v>0.199999999999989</v>
      </c>
      <c r="H54" s="20">
        <f t="shared" si="25"/>
        <v>0.590500000000006</v>
      </c>
      <c r="I54" s="20">
        <f t="shared" si="25"/>
        <v>-0.398499999999999</v>
      </c>
      <c r="J54" s="20">
        <f t="shared" si="25"/>
        <v>0.00920000000000698</v>
      </c>
      <c r="K54" s="20">
        <f t="shared" si="25"/>
        <v>4.29129999999999</v>
      </c>
      <c r="L54" s="20">
        <f t="shared" si="25"/>
        <v>-2.5129</v>
      </c>
      <c r="M54" s="20">
        <f t="shared" si="25"/>
        <v>1.8468</v>
      </c>
      <c r="N54" s="20">
        <f t="shared" si="25"/>
        <v>7.1058</v>
      </c>
      <c r="O54" s="20">
        <f t="shared" si="25"/>
        <v>7.8103</v>
      </c>
      <c r="P54" s="20">
        <f t="shared" si="25"/>
        <v>9.54769999999999</v>
      </c>
      <c r="Q54" s="20">
        <f t="shared" si="25"/>
        <v>4.0514</v>
      </c>
      <c r="R54" s="20">
        <f t="shared" si="25"/>
        <v>-2.73180000000001</v>
      </c>
      <c r="S54" s="20">
        <f t="shared" si="25"/>
        <v>-2.74549999999999</v>
      </c>
      <c r="T54" s="20">
        <f t="shared" si="25"/>
        <v>0.385400000000004</v>
      </c>
      <c r="U54" s="20">
        <f t="shared" si="25"/>
        <v>1.89189999999999</v>
      </c>
      <c r="V54" s="20">
        <f t="shared" si="25"/>
        <v>2.3295</v>
      </c>
      <c r="W54" s="20">
        <f t="shared" si="25"/>
        <v>2.96610000000001</v>
      </c>
      <c r="X54" s="20">
        <f t="shared" si="25"/>
        <v>3.604</v>
      </c>
      <c r="Y54" s="20">
        <f t="shared" si="25"/>
        <v>0.225300000000004</v>
      </c>
      <c r="Z54" s="20">
        <f t="shared" si="25"/>
        <v>0.0919000000000096</v>
      </c>
      <c r="AA54" s="20">
        <f t="shared" si="25"/>
        <v>-1.68310000000001</v>
      </c>
      <c r="AB54" s="22">
        <f t="shared" si="25"/>
        <v>40.5212999999999</v>
      </c>
    </row>
    <row r="55" s="1" customFormat="1" ht="20" hidden="1" customHeight="1" spans="1:28">
      <c r="A55" s="15">
        <v>46130</v>
      </c>
      <c r="B55" s="16">
        <v>4303121811816</v>
      </c>
      <c r="C55" s="17" t="s">
        <v>37</v>
      </c>
      <c r="D55" s="18">
        <v>98.55</v>
      </c>
      <c r="E55" s="18">
        <v>100.62</v>
      </c>
      <c r="F55" s="18">
        <v>100.78</v>
      </c>
      <c r="G55" s="18">
        <v>100.11</v>
      </c>
      <c r="H55" s="18">
        <v>100.54</v>
      </c>
      <c r="I55" s="18">
        <v>100.62</v>
      </c>
      <c r="J55" s="18">
        <v>98.66</v>
      </c>
      <c r="K55" s="18">
        <v>95.33</v>
      </c>
      <c r="L55" s="18">
        <v>100.35</v>
      </c>
      <c r="M55" s="18">
        <v>101.66</v>
      </c>
      <c r="N55" s="18">
        <v>102.33</v>
      </c>
      <c r="O55" s="18">
        <v>97.89</v>
      </c>
      <c r="P55" s="18">
        <v>97.99</v>
      </c>
      <c r="Q55" s="18">
        <v>97.28</v>
      </c>
      <c r="R55" s="18">
        <v>103.28</v>
      </c>
      <c r="S55" s="18">
        <v>104.33</v>
      </c>
      <c r="T55" s="18">
        <v>104.58</v>
      </c>
      <c r="U55" s="18">
        <v>104.54</v>
      </c>
      <c r="V55" s="18">
        <v>103.32</v>
      </c>
      <c r="W55" s="18">
        <v>97.58</v>
      </c>
      <c r="X55" s="18">
        <v>102.66</v>
      </c>
      <c r="Y55" s="18">
        <v>101.48</v>
      </c>
      <c r="Z55" s="18">
        <v>100.32</v>
      </c>
      <c r="AA55" s="18">
        <v>95.66</v>
      </c>
      <c r="AB55" s="22">
        <f t="shared" si="24"/>
        <v>2410.46</v>
      </c>
    </row>
    <row r="56" s="1" customFormat="1" ht="20" customHeight="1" spans="1:29">
      <c r="A56" s="15"/>
      <c r="B56" s="16"/>
      <c r="C56" s="17" t="s">
        <v>38</v>
      </c>
      <c r="D56" s="19">
        <v>99.6653</v>
      </c>
      <c r="E56" s="19">
        <v>100.5435</v>
      </c>
      <c r="F56" s="19">
        <v>100.9501</v>
      </c>
      <c r="G56" s="19">
        <v>101.1085</v>
      </c>
      <c r="H56" s="19">
        <v>100.539</v>
      </c>
      <c r="I56" s="19">
        <v>99.2869</v>
      </c>
      <c r="J56" s="19">
        <v>95.1315</v>
      </c>
      <c r="K56" s="19">
        <v>90.6612</v>
      </c>
      <c r="L56" s="19">
        <v>98.8961</v>
      </c>
      <c r="M56" s="19">
        <v>92.6822</v>
      </c>
      <c r="N56" s="19">
        <v>91.2314</v>
      </c>
      <c r="O56" s="19">
        <v>89.0489</v>
      </c>
      <c r="P56" s="19">
        <v>84.1684</v>
      </c>
      <c r="Q56" s="19">
        <v>89.9184</v>
      </c>
      <c r="R56" s="19">
        <v>93.9611</v>
      </c>
      <c r="S56" s="19">
        <v>94.3466</v>
      </c>
      <c r="T56" s="19">
        <v>97.013</v>
      </c>
      <c r="U56" s="19">
        <v>99.6231</v>
      </c>
      <c r="V56" s="19">
        <v>97.1661</v>
      </c>
      <c r="W56" s="19">
        <v>93.3257</v>
      </c>
      <c r="X56" s="19">
        <v>98.9049</v>
      </c>
      <c r="Y56" s="19">
        <v>98.3576</v>
      </c>
      <c r="Z56" s="19">
        <v>98.3259</v>
      </c>
      <c r="AA56" s="19">
        <v>93.5757</v>
      </c>
      <c r="AB56" s="22">
        <f t="shared" si="24"/>
        <v>2298.4311</v>
      </c>
      <c r="AC56" s="21">
        <f>MAX(D56:AA56)</f>
        <v>101.1085</v>
      </c>
    </row>
    <row r="57" s="1" customFormat="1" ht="20" hidden="1" customHeight="1" spans="1:28">
      <c r="A57" s="15"/>
      <c r="B57" s="16"/>
      <c r="C57" s="17" t="s">
        <v>39</v>
      </c>
      <c r="D57" s="20">
        <f t="shared" ref="D57:AB57" si="26">D55-D56</f>
        <v>-1.1153</v>
      </c>
      <c r="E57" s="20">
        <f t="shared" si="26"/>
        <v>0.07650000000001</v>
      </c>
      <c r="F57" s="20">
        <f t="shared" si="26"/>
        <v>-0.170100000000005</v>
      </c>
      <c r="G57" s="20">
        <f t="shared" si="26"/>
        <v>-0.998500000000007</v>
      </c>
      <c r="H57" s="20">
        <f t="shared" si="26"/>
        <v>0.00100000000000477</v>
      </c>
      <c r="I57" s="20">
        <f t="shared" si="26"/>
        <v>1.3331</v>
      </c>
      <c r="J57" s="20">
        <f t="shared" si="26"/>
        <v>3.52849999999999</v>
      </c>
      <c r="K57" s="20">
        <f t="shared" si="26"/>
        <v>4.6688</v>
      </c>
      <c r="L57" s="20">
        <f t="shared" si="26"/>
        <v>1.45389999999999</v>
      </c>
      <c r="M57" s="20">
        <f t="shared" si="26"/>
        <v>8.9778</v>
      </c>
      <c r="N57" s="20">
        <f t="shared" si="26"/>
        <v>11.0986</v>
      </c>
      <c r="O57" s="20">
        <f t="shared" si="26"/>
        <v>8.8411</v>
      </c>
      <c r="P57" s="20">
        <f t="shared" si="26"/>
        <v>13.8216</v>
      </c>
      <c r="Q57" s="20">
        <f t="shared" si="26"/>
        <v>7.3616</v>
      </c>
      <c r="R57" s="20">
        <f t="shared" si="26"/>
        <v>9.3189</v>
      </c>
      <c r="S57" s="20">
        <f t="shared" si="26"/>
        <v>9.9834</v>
      </c>
      <c r="T57" s="20">
        <f t="shared" si="26"/>
        <v>7.56699999999999</v>
      </c>
      <c r="U57" s="20">
        <f t="shared" si="26"/>
        <v>4.91690000000001</v>
      </c>
      <c r="V57" s="20">
        <f t="shared" si="26"/>
        <v>6.15389999999999</v>
      </c>
      <c r="W57" s="20">
        <f t="shared" si="26"/>
        <v>4.2543</v>
      </c>
      <c r="X57" s="20">
        <f t="shared" si="26"/>
        <v>3.7551</v>
      </c>
      <c r="Y57" s="20">
        <f t="shared" si="26"/>
        <v>3.1224</v>
      </c>
      <c r="Z57" s="20">
        <f t="shared" si="26"/>
        <v>1.99409999999999</v>
      </c>
      <c r="AA57" s="20">
        <f t="shared" si="26"/>
        <v>2.0843</v>
      </c>
      <c r="AB57" s="22">
        <f t="shared" si="26"/>
        <v>112.0289</v>
      </c>
    </row>
    <row r="58" s="1" customFormat="1" ht="20" hidden="1" customHeight="1" spans="1:28">
      <c r="A58" s="15">
        <v>46131</v>
      </c>
      <c r="B58" s="16">
        <v>4303121811816</v>
      </c>
      <c r="C58" s="17" t="s">
        <v>37</v>
      </c>
      <c r="D58" s="18">
        <v>95.11</v>
      </c>
      <c r="E58" s="18">
        <v>97.31</v>
      </c>
      <c r="F58" s="18">
        <v>97.66</v>
      </c>
      <c r="G58" s="18">
        <v>97.68</v>
      </c>
      <c r="H58" s="18">
        <v>98.21</v>
      </c>
      <c r="I58" s="18">
        <v>95.66</v>
      </c>
      <c r="J58" s="18">
        <v>89.54</v>
      </c>
      <c r="K58" s="18">
        <v>84.24</v>
      </c>
      <c r="L58" s="18">
        <v>87.59</v>
      </c>
      <c r="M58" s="18">
        <v>87.23</v>
      </c>
      <c r="N58" s="18">
        <v>85.21</v>
      </c>
      <c r="O58" s="18">
        <v>83.33</v>
      </c>
      <c r="P58" s="18">
        <v>83.68</v>
      </c>
      <c r="Q58" s="18">
        <v>86.55</v>
      </c>
      <c r="R58" s="18">
        <v>86.71</v>
      </c>
      <c r="S58" s="18">
        <v>88.21</v>
      </c>
      <c r="T58" s="18">
        <v>87.54</v>
      </c>
      <c r="U58" s="18">
        <v>87.88</v>
      </c>
      <c r="V58" s="18">
        <v>85.66</v>
      </c>
      <c r="W58" s="18">
        <v>85.74</v>
      </c>
      <c r="X58" s="18">
        <v>87.71</v>
      </c>
      <c r="Y58" s="18">
        <v>88.79</v>
      </c>
      <c r="Z58" s="18">
        <v>87.96</v>
      </c>
      <c r="AA58" s="18">
        <v>85.33</v>
      </c>
      <c r="AB58" s="22">
        <f t="shared" ref="AB58:AB62" si="27">SUM(D58:AA58)</f>
        <v>2140.53</v>
      </c>
    </row>
    <row r="59" s="1" customFormat="1" ht="20" customHeight="1" spans="1:29">
      <c r="A59" s="15"/>
      <c r="B59" s="16"/>
      <c r="C59" s="17" t="s">
        <v>38</v>
      </c>
      <c r="D59" s="20">
        <v>93.6672</v>
      </c>
      <c r="E59" s="20">
        <v>96.8282</v>
      </c>
      <c r="F59" s="20">
        <v>96.0907</v>
      </c>
      <c r="G59" s="20">
        <v>98.553</v>
      </c>
      <c r="H59" s="20">
        <v>96.5272</v>
      </c>
      <c r="I59" s="20">
        <v>95.0329</v>
      </c>
      <c r="J59" s="20">
        <v>87.6251</v>
      </c>
      <c r="K59" s="20">
        <v>79.4781</v>
      </c>
      <c r="L59" s="20">
        <v>81.6394</v>
      </c>
      <c r="M59" s="20">
        <v>77.9278</v>
      </c>
      <c r="N59" s="20">
        <v>75.8384</v>
      </c>
      <c r="O59" s="20">
        <v>71.6919</v>
      </c>
      <c r="P59" s="20">
        <v>73.0066</v>
      </c>
      <c r="Q59" s="20">
        <v>76.6867</v>
      </c>
      <c r="R59" s="20">
        <v>79.4974</v>
      </c>
      <c r="S59" s="20">
        <v>82.2941</v>
      </c>
      <c r="T59" s="20">
        <v>85.7367</v>
      </c>
      <c r="U59" s="20">
        <v>86.0095</v>
      </c>
      <c r="V59" s="20">
        <v>83.7091</v>
      </c>
      <c r="W59" s="20">
        <v>81.2205</v>
      </c>
      <c r="X59" s="20">
        <v>87.6216</v>
      </c>
      <c r="Y59" s="20">
        <v>87.1623</v>
      </c>
      <c r="Z59" s="20">
        <v>85.9249</v>
      </c>
      <c r="AA59" s="20">
        <v>84.9834</v>
      </c>
      <c r="AB59" s="22">
        <f t="shared" si="27"/>
        <v>2044.7527</v>
      </c>
      <c r="AC59" s="21">
        <f>MAX(D59:AA59)</f>
        <v>98.553</v>
      </c>
    </row>
    <row r="60" s="1" customFormat="1" ht="20" hidden="1" customHeight="1" spans="1:28">
      <c r="A60" s="15"/>
      <c r="B60" s="16"/>
      <c r="C60" s="17" t="s">
        <v>39</v>
      </c>
      <c r="D60" s="20">
        <f t="shared" ref="D60:AB60" si="28">D58-D59</f>
        <v>1.44280000000001</v>
      </c>
      <c r="E60" s="20">
        <f t="shared" si="28"/>
        <v>0.481800000000007</v>
      </c>
      <c r="F60" s="20">
        <f t="shared" si="28"/>
        <v>1.5693</v>
      </c>
      <c r="G60" s="20">
        <f t="shared" si="28"/>
        <v>-0.87299999999999</v>
      </c>
      <c r="H60" s="20">
        <f t="shared" si="28"/>
        <v>1.6828</v>
      </c>
      <c r="I60" s="20">
        <f t="shared" si="28"/>
        <v>0.627099999999999</v>
      </c>
      <c r="J60" s="20">
        <f t="shared" si="28"/>
        <v>1.9149</v>
      </c>
      <c r="K60" s="20">
        <f t="shared" si="28"/>
        <v>4.7619</v>
      </c>
      <c r="L60" s="20">
        <f t="shared" si="28"/>
        <v>5.95060000000001</v>
      </c>
      <c r="M60" s="20">
        <f t="shared" si="28"/>
        <v>9.3022</v>
      </c>
      <c r="N60" s="20">
        <f t="shared" si="28"/>
        <v>9.3716</v>
      </c>
      <c r="O60" s="20">
        <f t="shared" si="28"/>
        <v>11.6381</v>
      </c>
      <c r="P60" s="20">
        <f t="shared" si="28"/>
        <v>10.6734</v>
      </c>
      <c r="Q60" s="20">
        <f t="shared" si="28"/>
        <v>9.8633</v>
      </c>
      <c r="R60" s="20">
        <f t="shared" si="28"/>
        <v>7.21259999999999</v>
      </c>
      <c r="S60" s="20">
        <f t="shared" si="28"/>
        <v>5.91589999999999</v>
      </c>
      <c r="T60" s="20">
        <f t="shared" si="28"/>
        <v>1.80330000000001</v>
      </c>
      <c r="U60" s="20">
        <f t="shared" si="28"/>
        <v>1.87049999999999</v>
      </c>
      <c r="V60" s="20">
        <f t="shared" si="28"/>
        <v>1.95089999999999</v>
      </c>
      <c r="W60" s="20">
        <f t="shared" si="28"/>
        <v>4.51949999999999</v>
      </c>
      <c r="X60" s="20">
        <f t="shared" si="28"/>
        <v>0.0883999999999929</v>
      </c>
      <c r="Y60" s="20">
        <f t="shared" si="28"/>
        <v>1.6277</v>
      </c>
      <c r="Z60" s="20">
        <f t="shared" si="28"/>
        <v>2.0351</v>
      </c>
      <c r="AA60" s="20">
        <f t="shared" si="28"/>
        <v>0.346599999999995</v>
      </c>
      <c r="AB60" s="22">
        <f t="shared" si="28"/>
        <v>95.7773000000002</v>
      </c>
    </row>
    <row r="61" s="1" customFormat="1" ht="20" hidden="1" customHeight="1" spans="1:28">
      <c r="A61" s="15">
        <v>46132</v>
      </c>
      <c r="B61" s="16">
        <v>4303121811816</v>
      </c>
      <c r="C61" s="17" t="s">
        <v>37</v>
      </c>
      <c r="D61" s="18">
        <v>84.11</v>
      </c>
      <c r="E61" s="18">
        <v>87.89</v>
      </c>
      <c r="F61" s="18">
        <v>87.91</v>
      </c>
      <c r="G61" s="18">
        <v>87.78</v>
      </c>
      <c r="H61" s="18">
        <v>87.88</v>
      </c>
      <c r="I61" s="18">
        <v>88.62</v>
      </c>
      <c r="J61" s="18">
        <v>86.92</v>
      </c>
      <c r="K61" s="18">
        <v>89.24</v>
      </c>
      <c r="L61" s="18">
        <v>102.58</v>
      </c>
      <c r="M61" s="18">
        <v>104.66</v>
      </c>
      <c r="N61" s="18">
        <v>103.31</v>
      </c>
      <c r="O61" s="18">
        <v>100.77</v>
      </c>
      <c r="P61" s="18">
        <v>96.54</v>
      </c>
      <c r="Q61" s="18">
        <v>104.11</v>
      </c>
      <c r="R61" s="18">
        <v>104.62</v>
      </c>
      <c r="S61" s="18">
        <v>104.84</v>
      </c>
      <c r="T61" s="18">
        <v>104.87</v>
      </c>
      <c r="U61" s="18">
        <v>104.66</v>
      </c>
      <c r="V61" s="18">
        <v>99.41</v>
      </c>
      <c r="W61" s="18">
        <v>96.22</v>
      </c>
      <c r="X61" s="18">
        <v>101.34</v>
      </c>
      <c r="Y61" s="18">
        <v>100.54</v>
      </c>
      <c r="Z61" s="18">
        <v>98.31</v>
      </c>
      <c r="AA61" s="18">
        <v>95.66</v>
      </c>
      <c r="AB61" s="22">
        <f t="shared" si="27"/>
        <v>2322.79</v>
      </c>
    </row>
    <row r="62" s="1" customFormat="1" ht="20" customHeight="1" spans="1:29">
      <c r="A62" s="15"/>
      <c r="B62" s="16"/>
      <c r="C62" s="17" t="s">
        <v>38</v>
      </c>
      <c r="D62" s="19">
        <v>83.8623</v>
      </c>
      <c r="E62" s="19">
        <v>86.7451</v>
      </c>
      <c r="F62" s="19">
        <v>87.1271</v>
      </c>
      <c r="G62" s="19">
        <v>86.6976</v>
      </c>
      <c r="H62" s="19">
        <v>87.956</v>
      </c>
      <c r="I62" s="19">
        <v>88.1672</v>
      </c>
      <c r="J62" s="19">
        <v>87.7712</v>
      </c>
      <c r="K62" s="19">
        <v>90.9145</v>
      </c>
      <c r="L62" s="19">
        <v>107.2614</v>
      </c>
      <c r="M62" s="19">
        <v>105.7702</v>
      </c>
      <c r="N62" s="19">
        <v>105.4134</v>
      </c>
      <c r="O62" s="19">
        <v>98.2714</v>
      </c>
      <c r="P62" s="19">
        <v>96.5466</v>
      </c>
      <c r="Q62" s="19">
        <v>103.7832</v>
      </c>
      <c r="R62" s="19">
        <v>106.4008</v>
      </c>
      <c r="S62" s="19">
        <v>105.1512</v>
      </c>
      <c r="T62" s="19">
        <v>106.9147</v>
      </c>
      <c r="U62" s="19">
        <v>105.0825</v>
      </c>
      <c r="V62" s="19">
        <v>101.8002</v>
      </c>
      <c r="W62" s="19">
        <v>97.2277</v>
      </c>
      <c r="X62" s="19">
        <v>101.4676</v>
      </c>
      <c r="Y62" s="19">
        <v>101.0698</v>
      </c>
      <c r="Z62" s="19">
        <v>98.5442</v>
      </c>
      <c r="AA62" s="19">
        <v>96.0911</v>
      </c>
      <c r="AB62" s="22">
        <f t="shared" si="27"/>
        <v>2336.037</v>
      </c>
      <c r="AC62" s="21">
        <f>MAX(D62:AA62)</f>
        <v>107.2614</v>
      </c>
    </row>
    <row r="63" s="1" customFormat="1" ht="20" hidden="1" customHeight="1" spans="1:28">
      <c r="A63" s="15"/>
      <c r="B63" s="16"/>
      <c r="C63" s="17" t="s">
        <v>39</v>
      </c>
      <c r="D63" s="20">
        <f t="shared" ref="D63:AB63" si="29">D61-D62</f>
        <v>0.247699999999995</v>
      </c>
      <c r="E63" s="20">
        <f t="shared" si="29"/>
        <v>1.14490000000001</v>
      </c>
      <c r="F63" s="20">
        <f t="shared" si="29"/>
        <v>0.782899999999998</v>
      </c>
      <c r="G63" s="20">
        <f t="shared" si="29"/>
        <v>1.08240000000001</v>
      </c>
      <c r="H63" s="20">
        <f t="shared" si="29"/>
        <v>-0.0760000000000076</v>
      </c>
      <c r="I63" s="20">
        <f t="shared" si="29"/>
        <v>0.452800000000011</v>
      </c>
      <c r="J63" s="20">
        <f t="shared" si="29"/>
        <v>-0.851199999999992</v>
      </c>
      <c r="K63" s="20">
        <f t="shared" si="29"/>
        <v>-1.67450000000001</v>
      </c>
      <c r="L63" s="20">
        <f t="shared" si="29"/>
        <v>-4.6814</v>
      </c>
      <c r="M63" s="20">
        <f t="shared" si="29"/>
        <v>-1.11020000000001</v>
      </c>
      <c r="N63" s="20">
        <f t="shared" si="29"/>
        <v>-2.10339999999999</v>
      </c>
      <c r="O63" s="20">
        <f t="shared" si="29"/>
        <v>2.4986</v>
      </c>
      <c r="P63" s="20">
        <f t="shared" si="29"/>
        <v>-0.00659999999999172</v>
      </c>
      <c r="Q63" s="20">
        <f t="shared" si="29"/>
        <v>0.326800000000006</v>
      </c>
      <c r="R63" s="20">
        <f t="shared" si="29"/>
        <v>-1.7808</v>
      </c>
      <c r="S63" s="20">
        <f t="shared" si="29"/>
        <v>-0.311199999999999</v>
      </c>
      <c r="T63" s="20">
        <f t="shared" si="29"/>
        <v>-2.04469999999999</v>
      </c>
      <c r="U63" s="20">
        <f t="shared" si="29"/>
        <v>-0.422499999999999</v>
      </c>
      <c r="V63" s="20">
        <f t="shared" si="29"/>
        <v>-2.39020000000001</v>
      </c>
      <c r="W63" s="20">
        <f t="shared" si="29"/>
        <v>-1.0077</v>
      </c>
      <c r="X63" s="20">
        <f t="shared" si="29"/>
        <v>-0.127600000000001</v>
      </c>
      <c r="Y63" s="20">
        <f t="shared" si="29"/>
        <v>-0.529799999999994</v>
      </c>
      <c r="Z63" s="20">
        <f t="shared" si="29"/>
        <v>-0.234200000000001</v>
      </c>
      <c r="AA63" s="20">
        <f t="shared" si="29"/>
        <v>-0.431100000000001</v>
      </c>
      <c r="AB63" s="22">
        <f t="shared" si="29"/>
        <v>-13.2470000000003</v>
      </c>
    </row>
    <row r="64" s="1" customFormat="1" ht="20" hidden="1" customHeight="1" spans="1:28">
      <c r="A64" s="15">
        <v>46133</v>
      </c>
      <c r="B64" s="16">
        <v>4303121811816</v>
      </c>
      <c r="C64" s="17" t="s">
        <v>37</v>
      </c>
      <c r="D64" s="18">
        <v>95.11</v>
      </c>
      <c r="E64" s="18">
        <v>98.21</v>
      </c>
      <c r="F64" s="18">
        <v>97.84</v>
      </c>
      <c r="G64" s="18">
        <v>99.54</v>
      </c>
      <c r="H64" s="18">
        <v>99.61</v>
      </c>
      <c r="I64" s="18">
        <v>97.66</v>
      </c>
      <c r="J64" s="18">
        <v>95.62</v>
      </c>
      <c r="K64" s="18">
        <v>94.33</v>
      </c>
      <c r="L64" s="18">
        <v>104.71</v>
      </c>
      <c r="M64" s="18">
        <v>106.54</v>
      </c>
      <c r="N64" s="18">
        <v>103.21</v>
      </c>
      <c r="O64" s="18">
        <v>100.62</v>
      </c>
      <c r="P64" s="18">
        <v>96.58</v>
      </c>
      <c r="Q64" s="18">
        <v>104.12</v>
      </c>
      <c r="R64" s="18">
        <v>104.66</v>
      </c>
      <c r="S64" s="18">
        <v>105.55</v>
      </c>
      <c r="T64" s="18">
        <v>107.54</v>
      </c>
      <c r="U64" s="18">
        <v>103.21</v>
      </c>
      <c r="V64" s="18">
        <v>98.66</v>
      </c>
      <c r="W64" s="18">
        <v>98.54</v>
      </c>
      <c r="X64" s="18">
        <v>101.77</v>
      </c>
      <c r="Y64" s="18">
        <v>100.62</v>
      </c>
      <c r="Z64" s="18">
        <v>100.33</v>
      </c>
      <c r="AA64" s="18">
        <v>96.54</v>
      </c>
      <c r="AB64" s="22">
        <f t="shared" ref="AB64:AB68" si="30">SUM(D64:AA64)</f>
        <v>2411.12</v>
      </c>
    </row>
    <row r="65" s="1" customFormat="1" ht="20" customHeight="1" spans="1:29">
      <c r="A65" s="15"/>
      <c r="B65" s="16"/>
      <c r="C65" s="17" t="s">
        <v>38</v>
      </c>
      <c r="D65" s="20">
        <v>95.4096</v>
      </c>
      <c r="E65" s="20">
        <v>99.1778</v>
      </c>
      <c r="F65" s="20">
        <v>100.5154</v>
      </c>
      <c r="G65" s="20">
        <v>100.8023</v>
      </c>
      <c r="H65" s="20">
        <v>101.0416</v>
      </c>
      <c r="I65" s="20">
        <v>99.3732</v>
      </c>
      <c r="J65" s="20">
        <v>97.7873</v>
      </c>
      <c r="K65" s="20">
        <v>96.4374</v>
      </c>
      <c r="L65" s="20">
        <v>101.8195</v>
      </c>
      <c r="M65" s="20">
        <v>104.544</v>
      </c>
      <c r="N65" s="20">
        <v>102.754</v>
      </c>
      <c r="O65" s="20">
        <v>98.8715</v>
      </c>
      <c r="P65" s="20">
        <v>97.1643</v>
      </c>
      <c r="Q65" s="20">
        <v>103.1808</v>
      </c>
      <c r="R65" s="20">
        <v>104.8361</v>
      </c>
      <c r="S65" s="20">
        <v>104.3908</v>
      </c>
      <c r="T65" s="20">
        <v>103.7327</v>
      </c>
      <c r="U65" s="20">
        <v>101.7561</v>
      </c>
      <c r="V65" s="20">
        <v>99.1813</v>
      </c>
      <c r="W65" s="20">
        <v>96.1312</v>
      </c>
      <c r="X65" s="20">
        <v>101.068</v>
      </c>
      <c r="Y65" s="20">
        <v>99.2499</v>
      </c>
      <c r="Z65" s="20">
        <v>99.9293</v>
      </c>
      <c r="AA65" s="20">
        <v>93.3223</v>
      </c>
      <c r="AB65" s="22">
        <f t="shared" si="30"/>
        <v>2402.4764</v>
      </c>
      <c r="AC65" s="21">
        <f>MAX(D65:AA65)</f>
        <v>104.8361</v>
      </c>
    </row>
    <row r="66" s="1" customFormat="1" ht="20" hidden="1" customHeight="1" spans="1:28">
      <c r="A66" s="15"/>
      <c r="B66" s="16"/>
      <c r="C66" s="17" t="s">
        <v>39</v>
      </c>
      <c r="D66" s="20">
        <f t="shared" ref="D66:AB66" si="31">D64-D65</f>
        <v>-0.299599999999998</v>
      </c>
      <c r="E66" s="20">
        <f t="shared" si="31"/>
        <v>-0.967800000000011</v>
      </c>
      <c r="F66" s="20">
        <f t="shared" si="31"/>
        <v>-2.6754</v>
      </c>
      <c r="G66" s="20">
        <f t="shared" si="31"/>
        <v>-1.2623</v>
      </c>
      <c r="H66" s="20">
        <f t="shared" si="31"/>
        <v>-1.4316</v>
      </c>
      <c r="I66" s="20">
        <f t="shared" si="31"/>
        <v>-1.7132</v>
      </c>
      <c r="J66" s="20">
        <f t="shared" si="31"/>
        <v>-2.1673</v>
      </c>
      <c r="K66" s="20">
        <f t="shared" si="31"/>
        <v>-2.1074</v>
      </c>
      <c r="L66" s="20">
        <f t="shared" si="31"/>
        <v>2.89049999999999</v>
      </c>
      <c r="M66" s="20">
        <f t="shared" si="31"/>
        <v>1.99600000000001</v>
      </c>
      <c r="N66" s="20">
        <f t="shared" si="31"/>
        <v>0.455999999999989</v>
      </c>
      <c r="O66" s="20">
        <f t="shared" si="31"/>
        <v>1.74850000000001</v>
      </c>
      <c r="P66" s="20">
        <f t="shared" si="31"/>
        <v>-0.584299999999999</v>
      </c>
      <c r="Q66" s="20">
        <f t="shared" si="31"/>
        <v>0.9392</v>
      </c>
      <c r="R66" s="20">
        <f t="shared" si="31"/>
        <v>-0.176100000000005</v>
      </c>
      <c r="S66" s="20">
        <f t="shared" si="31"/>
        <v>1.1592</v>
      </c>
      <c r="T66" s="20">
        <f t="shared" si="31"/>
        <v>3.80730000000001</v>
      </c>
      <c r="U66" s="20">
        <f t="shared" si="31"/>
        <v>1.45389999999999</v>
      </c>
      <c r="V66" s="20">
        <f t="shared" si="31"/>
        <v>-0.521299999999997</v>
      </c>
      <c r="W66" s="20">
        <f t="shared" si="31"/>
        <v>2.4088</v>
      </c>
      <c r="X66" s="20">
        <f t="shared" si="31"/>
        <v>0.701999999999998</v>
      </c>
      <c r="Y66" s="20">
        <f t="shared" si="31"/>
        <v>1.37010000000001</v>
      </c>
      <c r="Z66" s="20">
        <f t="shared" si="31"/>
        <v>0.400700000000001</v>
      </c>
      <c r="AA66" s="20">
        <f t="shared" si="31"/>
        <v>3.21770000000001</v>
      </c>
      <c r="AB66" s="22">
        <f t="shared" si="31"/>
        <v>8.64360000000033</v>
      </c>
    </row>
    <row r="67" s="1" customFormat="1" ht="20" hidden="1" customHeight="1" spans="1:28">
      <c r="A67" s="15">
        <v>46134</v>
      </c>
      <c r="B67" s="16">
        <v>4303121811816</v>
      </c>
      <c r="C67" s="17" t="s">
        <v>37</v>
      </c>
      <c r="D67" s="18">
        <v>95.45</v>
      </c>
      <c r="E67" s="18">
        <v>98.33</v>
      </c>
      <c r="F67" s="18">
        <v>97.81</v>
      </c>
      <c r="G67" s="18">
        <v>99.62</v>
      </c>
      <c r="H67" s="18">
        <v>99.71</v>
      </c>
      <c r="I67" s="18">
        <v>97.75</v>
      </c>
      <c r="J67" s="18">
        <v>95.54</v>
      </c>
      <c r="K67" s="18">
        <v>94.41</v>
      </c>
      <c r="L67" s="18">
        <v>103.98</v>
      </c>
      <c r="M67" s="18">
        <v>105.66</v>
      </c>
      <c r="N67" s="18">
        <v>103.35</v>
      </c>
      <c r="O67" s="18">
        <v>100.54</v>
      </c>
      <c r="P67" s="18">
        <v>96.71</v>
      </c>
      <c r="Q67" s="18">
        <v>104.21</v>
      </c>
      <c r="R67" s="18">
        <v>104.54</v>
      </c>
      <c r="S67" s="18">
        <v>105.62</v>
      </c>
      <c r="T67" s="18">
        <v>106.55</v>
      </c>
      <c r="U67" s="18">
        <v>103.33</v>
      </c>
      <c r="V67" s="18">
        <v>98.75</v>
      </c>
      <c r="W67" s="18">
        <v>98.66</v>
      </c>
      <c r="X67" s="18">
        <v>101.53</v>
      </c>
      <c r="Y67" s="18">
        <v>100.68</v>
      </c>
      <c r="Z67" s="18">
        <v>100.41</v>
      </c>
      <c r="AA67" s="18">
        <v>96.62</v>
      </c>
      <c r="AB67" s="22">
        <f t="shared" si="30"/>
        <v>2409.76</v>
      </c>
    </row>
    <row r="68" s="1" customFormat="1" ht="20" customHeight="1" spans="1:29">
      <c r="A68" s="15"/>
      <c r="B68" s="16"/>
      <c r="C68" s="17" t="s">
        <v>38</v>
      </c>
      <c r="D68" s="19">
        <v>95.9904</v>
      </c>
      <c r="E68" s="19">
        <v>99.7621</v>
      </c>
      <c r="F68" s="19">
        <v>99.2552</v>
      </c>
      <c r="G68" s="19">
        <v>98.6304</v>
      </c>
      <c r="H68" s="19">
        <v>99.1795</v>
      </c>
      <c r="I68" s="19">
        <v>97.3791</v>
      </c>
      <c r="J68" s="19">
        <v>94.0544</v>
      </c>
      <c r="K68" s="19">
        <v>93.7798</v>
      </c>
      <c r="L68" s="19">
        <v>104.2572</v>
      </c>
      <c r="M68" s="19">
        <v>102.6168</v>
      </c>
      <c r="N68" s="19">
        <v>102.3898</v>
      </c>
      <c r="O68" s="19">
        <v>91.205</v>
      </c>
      <c r="P68" s="19">
        <v>93.9224</v>
      </c>
      <c r="Q68" s="19">
        <v>101.9638</v>
      </c>
      <c r="R68" s="19">
        <v>102.2683</v>
      </c>
      <c r="S68" s="19">
        <v>102.8913</v>
      </c>
      <c r="T68" s="19">
        <v>102.9952</v>
      </c>
      <c r="U68" s="19">
        <v>103.9843</v>
      </c>
      <c r="V68" s="19">
        <v>100.3481</v>
      </c>
      <c r="W68" s="19">
        <v>95.0893</v>
      </c>
      <c r="X68" s="19">
        <v>99.7673</v>
      </c>
      <c r="Y68" s="19">
        <v>101.6436</v>
      </c>
      <c r="Z68" s="19">
        <v>100.0788</v>
      </c>
      <c r="AA68" s="19">
        <v>96.3847</v>
      </c>
      <c r="AB68" s="22">
        <f t="shared" si="30"/>
        <v>2379.8368</v>
      </c>
      <c r="AC68" s="21">
        <f>MAX(D68:AA68)</f>
        <v>104.2572</v>
      </c>
    </row>
    <row r="69" s="1" customFormat="1" ht="20" hidden="1" customHeight="1" spans="1:28">
      <c r="A69" s="15"/>
      <c r="B69" s="16"/>
      <c r="C69" s="17" t="s">
        <v>39</v>
      </c>
      <c r="D69" s="20">
        <f t="shared" ref="D69:AB69" si="32">D67-D68</f>
        <v>-0.540399999999991</v>
      </c>
      <c r="E69" s="20">
        <f t="shared" si="32"/>
        <v>-1.43210000000001</v>
      </c>
      <c r="F69" s="20">
        <f t="shared" si="32"/>
        <v>-1.4452</v>
      </c>
      <c r="G69" s="20">
        <f t="shared" si="32"/>
        <v>0.98960000000001</v>
      </c>
      <c r="H69" s="20">
        <f t="shared" si="32"/>
        <v>0.530499999999989</v>
      </c>
      <c r="I69" s="20">
        <f t="shared" si="32"/>
        <v>0.370900000000006</v>
      </c>
      <c r="J69" s="20">
        <f t="shared" si="32"/>
        <v>1.48560000000001</v>
      </c>
      <c r="K69" s="20">
        <f t="shared" si="32"/>
        <v>0.630200000000002</v>
      </c>
      <c r="L69" s="20">
        <f t="shared" si="32"/>
        <v>-0.277199999999993</v>
      </c>
      <c r="M69" s="20">
        <f t="shared" si="32"/>
        <v>3.0432</v>
      </c>
      <c r="N69" s="20">
        <f t="shared" si="32"/>
        <v>0.9602</v>
      </c>
      <c r="O69" s="20">
        <f t="shared" si="32"/>
        <v>9.33500000000001</v>
      </c>
      <c r="P69" s="20">
        <f t="shared" si="32"/>
        <v>2.7876</v>
      </c>
      <c r="Q69" s="20">
        <f t="shared" si="32"/>
        <v>2.24619999999999</v>
      </c>
      <c r="R69" s="20">
        <f t="shared" si="32"/>
        <v>2.27170000000001</v>
      </c>
      <c r="S69" s="20">
        <f t="shared" si="32"/>
        <v>2.7287</v>
      </c>
      <c r="T69" s="20">
        <f t="shared" si="32"/>
        <v>3.5548</v>
      </c>
      <c r="U69" s="20">
        <f t="shared" si="32"/>
        <v>-0.654300000000006</v>
      </c>
      <c r="V69" s="20">
        <f t="shared" si="32"/>
        <v>-1.5981</v>
      </c>
      <c r="W69" s="20">
        <f t="shared" si="32"/>
        <v>3.5707</v>
      </c>
      <c r="X69" s="20">
        <f t="shared" si="32"/>
        <v>1.7627</v>
      </c>
      <c r="Y69" s="20">
        <f t="shared" si="32"/>
        <v>-0.9636</v>
      </c>
      <c r="Z69" s="20">
        <f t="shared" si="32"/>
        <v>0.331199999999995</v>
      </c>
      <c r="AA69" s="20">
        <f t="shared" si="32"/>
        <v>0.235300000000009</v>
      </c>
      <c r="AB69" s="22">
        <f t="shared" si="32"/>
        <v>29.9232000000002</v>
      </c>
    </row>
    <row r="70" s="1" customFormat="1" ht="20" hidden="1" customHeight="1" spans="1:28">
      <c r="A70" s="15">
        <v>46135</v>
      </c>
      <c r="B70" s="16">
        <v>4303121811816</v>
      </c>
      <c r="C70" s="17" t="s">
        <v>37</v>
      </c>
      <c r="D70" s="18">
        <v>95.68</v>
      </c>
      <c r="E70" s="18">
        <v>98.98</v>
      </c>
      <c r="F70" s="18">
        <v>97.66</v>
      </c>
      <c r="G70" s="18">
        <v>99.71</v>
      </c>
      <c r="H70" s="18">
        <v>99.84</v>
      </c>
      <c r="I70" s="18">
        <v>97.86</v>
      </c>
      <c r="J70" s="18">
        <v>95.62</v>
      </c>
      <c r="K70" s="18">
        <v>94.38</v>
      </c>
      <c r="L70" s="18">
        <v>103.54</v>
      </c>
      <c r="M70" s="18">
        <v>104.58</v>
      </c>
      <c r="N70" s="18">
        <v>102.66</v>
      </c>
      <c r="O70" s="18">
        <v>100.31</v>
      </c>
      <c r="P70" s="18">
        <v>96.66</v>
      </c>
      <c r="Q70" s="18">
        <v>103.54</v>
      </c>
      <c r="R70" s="18">
        <v>103.58</v>
      </c>
      <c r="S70" s="18">
        <v>103.72</v>
      </c>
      <c r="T70" s="18">
        <v>104.66</v>
      </c>
      <c r="U70" s="18">
        <v>103.18</v>
      </c>
      <c r="V70" s="18">
        <v>98.62</v>
      </c>
      <c r="W70" s="18">
        <v>98.71</v>
      </c>
      <c r="X70" s="18">
        <v>101.21</v>
      </c>
      <c r="Y70" s="18">
        <v>100.33</v>
      </c>
      <c r="Z70" s="18">
        <v>100.18</v>
      </c>
      <c r="AA70" s="18">
        <v>96.33</v>
      </c>
      <c r="AB70" s="22">
        <f t="shared" ref="AB70:AB74" si="33">SUM(D70:AA70)</f>
        <v>2401.54</v>
      </c>
    </row>
    <row r="71" s="1" customFormat="1" ht="20" customHeight="1" spans="1:29">
      <c r="A71" s="15"/>
      <c r="B71" s="16"/>
      <c r="C71" s="17" t="s">
        <v>38</v>
      </c>
      <c r="D71" s="20">
        <v>94.3324</v>
      </c>
      <c r="E71" s="20">
        <v>98.1569</v>
      </c>
      <c r="F71" s="20">
        <v>98.1869</v>
      </c>
      <c r="G71" s="20">
        <v>98.7993</v>
      </c>
      <c r="H71" s="20">
        <v>99.4086</v>
      </c>
      <c r="I71" s="20">
        <v>97.6712</v>
      </c>
      <c r="J71" s="20">
        <v>95.1122</v>
      </c>
      <c r="K71" s="20">
        <v>95.1315</v>
      </c>
      <c r="L71" s="20">
        <v>96.2773</v>
      </c>
      <c r="M71" s="20">
        <v>96.4005</v>
      </c>
      <c r="N71" s="20">
        <v>100.1158</v>
      </c>
      <c r="O71" s="20">
        <v>92.695</v>
      </c>
      <c r="P71" s="20">
        <v>94.0614</v>
      </c>
      <c r="Q71" s="20">
        <v>98.4509</v>
      </c>
      <c r="R71" s="20">
        <v>101.4386</v>
      </c>
      <c r="S71" s="20">
        <v>99.7392</v>
      </c>
      <c r="T71" s="20">
        <v>101.8054</v>
      </c>
      <c r="U71" s="20">
        <v>101.918</v>
      </c>
      <c r="V71" s="20">
        <v>96.8229</v>
      </c>
      <c r="W71" s="20">
        <v>95.6772</v>
      </c>
      <c r="X71" s="20">
        <v>99.2904</v>
      </c>
      <c r="Y71" s="20">
        <v>99.4523</v>
      </c>
      <c r="Z71" s="20">
        <v>98.9226</v>
      </c>
      <c r="AA71" s="20">
        <v>95.5311</v>
      </c>
      <c r="AB71" s="22">
        <f t="shared" si="33"/>
        <v>2345.3976</v>
      </c>
      <c r="AC71" s="21">
        <f>MAX(D71:AA71)</f>
        <v>101.918</v>
      </c>
    </row>
    <row r="72" s="1" customFormat="1" ht="20" hidden="1" customHeight="1" spans="1:28">
      <c r="A72" s="15"/>
      <c r="B72" s="16"/>
      <c r="C72" s="17" t="s">
        <v>39</v>
      </c>
      <c r="D72" s="20">
        <f t="shared" ref="D72:AB72" si="34">D70-D71</f>
        <v>1.3476</v>
      </c>
      <c r="E72" s="20">
        <f t="shared" si="34"/>
        <v>0.823100000000011</v>
      </c>
      <c r="F72" s="20">
        <f t="shared" si="34"/>
        <v>-0.526899999999998</v>
      </c>
      <c r="G72" s="20">
        <f t="shared" si="34"/>
        <v>0.910699999999991</v>
      </c>
      <c r="H72" s="20">
        <f t="shared" si="34"/>
        <v>0.431399999999996</v>
      </c>
      <c r="I72" s="20">
        <f t="shared" si="34"/>
        <v>0.188800000000001</v>
      </c>
      <c r="J72" s="20">
        <f t="shared" si="34"/>
        <v>0.507800000000003</v>
      </c>
      <c r="K72" s="20">
        <f t="shared" si="34"/>
        <v>-0.751500000000007</v>
      </c>
      <c r="L72" s="20">
        <f t="shared" si="34"/>
        <v>7.26270000000001</v>
      </c>
      <c r="M72" s="20">
        <f t="shared" si="34"/>
        <v>8.1795</v>
      </c>
      <c r="N72" s="20">
        <f t="shared" si="34"/>
        <v>2.5442</v>
      </c>
      <c r="O72" s="20">
        <f t="shared" si="34"/>
        <v>7.61500000000001</v>
      </c>
      <c r="P72" s="20">
        <f t="shared" si="34"/>
        <v>2.59859999999999</v>
      </c>
      <c r="Q72" s="20">
        <f t="shared" si="34"/>
        <v>5.0891</v>
      </c>
      <c r="R72" s="20">
        <f t="shared" si="34"/>
        <v>2.1414</v>
      </c>
      <c r="S72" s="20">
        <f t="shared" si="34"/>
        <v>3.9808</v>
      </c>
      <c r="T72" s="20">
        <f t="shared" si="34"/>
        <v>2.85459999999999</v>
      </c>
      <c r="U72" s="20">
        <f t="shared" si="34"/>
        <v>1.262</v>
      </c>
      <c r="V72" s="20">
        <f t="shared" si="34"/>
        <v>1.7971</v>
      </c>
      <c r="W72" s="20">
        <f t="shared" si="34"/>
        <v>3.03279999999999</v>
      </c>
      <c r="X72" s="20">
        <f t="shared" si="34"/>
        <v>1.91959999999999</v>
      </c>
      <c r="Y72" s="20">
        <f t="shared" si="34"/>
        <v>0.877700000000004</v>
      </c>
      <c r="Z72" s="20">
        <f t="shared" si="34"/>
        <v>1.2574</v>
      </c>
      <c r="AA72" s="20">
        <f t="shared" si="34"/>
        <v>0.798900000000003</v>
      </c>
      <c r="AB72" s="22">
        <f t="shared" si="34"/>
        <v>56.1424000000002</v>
      </c>
    </row>
    <row r="73" s="1" customFormat="1" ht="20" hidden="1" customHeight="1" spans="1:28">
      <c r="A73" s="15">
        <v>46136</v>
      </c>
      <c r="B73" s="16">
        <v>4303121811816</v>
      </c>
      <c r="C73" s="17" t="s">
        <v>37</v>
      </c>
      <c r="D73" s="18">
        <v>95.86</v>
      </c>
      <c r="E73" s="18">
        <v>99.28</v>
      </c>
      <c r="F73" s="18">
        <v>100.35</v>
      </c>
      <c r="G73" s="18">
        <v>100.21</v>
      </c>
      <c r="H73" s="18">
        <v>99.68</v>
      </c>
      <c r="I73" s="18">
        <v>99.58</v>
      </c>
      <c r="J73" s="18">
        <v>96.66</v>
      </c>
      <c r="K73" s="18">
        <v>94.33</v>
      </c>
      <c r="L73" s="18">
        <v>99.55</v>
      </c>
      <c r="M73" s="18">
        <v>97.58</v>
      </c>
      <c r="N73" s="18">
        <v>94.88</v>
      </c>
      <c r="O73" s="18">
        <v>92.66</v>
      </c>
      <c r="P73" s="18">
        <v>89.28</v>
      </c>
      <c r="Q73" s="18">
        <v>99.79</v>
      </c>
      <c r="R73" s="18">
        <v>99.68</v>
      </c>
      <c r="S73" s="18">
        <v>100.22</v>
      </c>
      <c r="T73" s="18">
        <v>100.58</v>
      </c>
      <c r="U73" s="18">
        <v>103.34</v>
      </c>
      <c r="V73" s="18">
        <v>98.48</v>
      </c>
      <c r="W73" s="18">
        <v>98.68</v>
      </c>
      <c r="X73" s="18">
        <v>101.31</v>
      </c>
      <c r="Y73" s="18">
        <v>100.21</v>
      </c>
      <c r="Z73" s="18">
        <v>100.33</v>
      </c>
      <c r="AA73" s="18">
        <v>96.45</v>
      </c>
      <c r="AB73" s="22">
        <f t="shared" si="33"/>
        <v>2358.97</v>
      </c>
    </row>
    <row r="74" s="1" customFormat="1" ht="20" customHeight="1" spans="1:29">
      <c r="A74" s="15"/>
      <c r="B74" s="16"/>
      <c r="C74" s="17" t="s">
        <v>38</v>
      </c>
      <c r="D74" s="19">
        <v>94.0879</v>
      </c>
      <c r="E74" s="19">
        <v>97.3104</v>
      </c>
      <c r="F74" s="19">
        <v>98.8205</v>
      </c>
      <c r="G74" s="19">
        <v>99.6406</v>
      </c>
      <c r="H74" s="19">
        <v>99.0546</v>
      </c>
      <c r="I74" s="19">
        <v>97.6896</v>
      </c>
      <c r="J74" s="19">
        <v>94.3642</v>
      </c>
      <c r="K74" s="19">
        <v>92.1026</v>
      </c>
      <c r="L74" s="19">
        <v>98.736</v>
      </c>
      <c r="M74" s="19">
        <v>95.4993</v>
      </c>
      <c r="N74" s="19">
        <v>99.0933</v>
      </c>
      <c r="O74" s="19">
        <v>94.8159</v>
      </c>
      <c r="P74" s="19">
        <v>92.4897</v>
      </c>
      <c r="Q74" s="19">
        <v>100.4045</v>
      </c>
      <c r="R74" s="19">
        <v>99.4787</v>
      </c>
      <c r="S74" s="19">
        <v>100.0683</v>
      </c>
      <c r="T74" s="19">
        <v>101.1759</v>
      </c>
      <c r="U74" s="19">
        <v>102.9125</v>
      </c>
      <c r="V74" s="19">
        <v>99.2359</v>
      </c>
      <c r="W74" s="19">
        <v>98.2608</v>
      </c>
      <c r="X74" s="19">
        <v>100.3062</v>
      </c>
      <c r="Y74" s="19">
        <v>99.8008</v>
      </c>
      <c r="Z74" s="19">
        <v>98.194</v>
      </c>
      <c r="AA74" s="19">
        <v>94.2728</v>
      </c>
      <c r="AB74" s="22">
        <f t="shared" si="33"/>
        <v>2347.815</v>
      </c>
      <c r="AC74" s="21">
        <f>MAX(D74:AA74)</f>
        <v>102.9125</v>
      </c>
    </row>
    <row r="75" s="1" customFormat="1" ht="20" hidden="1" customHeight="1" spans="1:28">
      <c r="A75" s="15"/>
      <c r="B75" s="16"/>
      <c r="C75" s="17" t="s">
        <v>39</v>
      </c>
      <c r="D75" s="20">
        <f t="shared" ref="D75:AB75" si="35">D73-D74</f>
        <v>1.77209999999999</v>
      </c>
      <c r="E75" s="20">
        <f t="shared" si="35"/>
        <v>1.9696</v>
      </c>
      <c r="F75" s="20">
        <f t="shared" si="35"/>
        <v>1.5295</v>
      </c>
      <c r="G75" s="20">
        <f t="shared" si="35"/>
        <v>0.569399999999987</v>
      </c>
      <c r="H75" s="20">
        <f t="shared" si="35"/>
        <v>0.625400000000013</v>
      </c>
      <c r="I75" s="20">
        <f t="shared" si="35"/>
        <v>1.8904</v>
      </c>
      <c r="J75" s="20">
        <f t="shared" si="35"/>
        <v>2.2958</v>
      </c>
      <c r="K75" s="20">
        <f t="shared" si="35"/>
        <v>2.2274</v>
      </c>
      <c r="L75" s="20">
        <f t="shared" si="35"/>
        <v>0.813999999999993</v>
      </c>
      <c r="M75" s="20">
        <f t="shared" si="35"/>
        <v>2.08069999999999</v>
      </c>
      <c r="N75" s="20">
        <f t="shared" si="35"/>
        <v>-4.2133</v>
      </c>
      <c r="O75" s="20">
        <f t="shared" si="35"/>
        <v>-2.1559</v>
      </c>
      <c r="P75" s="20">
        <f t="shared" si="35"/>
        <v>-3.2097</v>
      </c>
      <c r="Q75" s="20">
        <f t="shared" si="35"/>
        <v>-0.614499999999992</v>
      </c>
      <c r="R75" s="20">
        <f t="shared" si="35"/>
        <v>0.201300000000003</v>
      </c>
      <c r="S75" s="20">
        <f t="shared" si="35"/>
        <v>0.151700000000005</v>
      </c>
      <c r="T75" s="20">
        <f t="shared" si="35"/>
        <v>-0.5959</v>
      </c>
      <c r="U75" s="20">
        <f t="shared" si="35"/>
        <v>0.427500000000009</v>
      </c>
      <c r="V75" s="20">
        <f t="shared" si="35"/>
        <v>-0.755899999999997</v>
      </c>
      <c r="W75" s="20">
        <f t="shared" si="35"/>
        <v>0.419200000000004</v>
      </c>
      <c r="X75" s="20">
        <f t="shared" si="35"/>
        <v>1.0038</v>
      </c>
      <c r="Y75" s="20">
        <f t="shared" si="35"/>
        <v>0.409199999999998</v>
      </c>
      <c r="Z75" s="20">
        <f t="shared" si="35"/>
        <v>2.136</v>
      </c>
      <c r="AA75" s="20">
        <f t="shared" si="35"/>
        <v>2.1772</v>
      </c>
      <c r="AB75" s="22">
        <f t="shared" si="35"/>
        <v>11.1549999999997</v>
      </c>
    </row>
    <row r="76" s="1" customFormat="1" ht="20" hidden="1" customHeight="1" spans="1:28">
      <c r="A76" s="15">
        <v>46137</v>
      </c>
      <c r="B76" s="16">
        <v>4303121811816</v>
      </c>
      <c r="C76" s="17" t="s">
        <v>37</v>
      </c>
      <c r="D76" s="18">
        <v>95.88</v>
      </c>
      <c r="E76" s="18">
        <v>99.35</v>
      </c>
      <c r="F76" s="18">
        <v>100.62</v>
      </c>
      <c r="G76" s="18">
        <v>100.35</v>
      </c>
      <c r="H76" s="18">
        <v>99.89</v>
      </c>
      <c r="I76" s="18">
        <v>99.62</v>
      </c>
      <c r="J76" s="18">
        <v>96.71</v>
      </c>
      <c r="K76" s="18">
        <v>94.21</v>
      </c>
      <c r="L76" s="18">
        <v>99.66</v>
      </c>
      <c r="M76" s="18">
        <v>97.82</v>
      </c>
      <c r="N76" s="18">
        <v>94.84</v>
      </c>
      <c r="O76" s="18">
        <v>92.68</v>
      </c>
      <c r="P76" s="18">
        <v>89.34</v>
      </c>
      <c r="Q76" s="18">
        <v>99.61</v>
      </c>
      <c r="R76" s="18">
        <v>99.48</v>
      </c>
      <c r="S76" s="18">
        <v>100.38</v>
      </c>
      <c r="T76" s="18">
        <v>100.66</v>
      </c>
      <c r="U76" s="18">
        <v>103.45</v>
      </c>
      <c r="V76" s="18">
        <v>98.66</v>
      </c>
      <c r="W76" s="18">
        <v>98.71</v>
      </c>
      <c r="X76" s="18">
        <v>101.55</v>
      </c>
      <c r="Y76" s="18">
        <v>100.64</v>
      </c>
      <c r="Z76" s="18">
        <v>100.28</v>
      </c>
      <c r="AA76" s="18">
        <v>96.52</v>
      </c>
      <c r="AB76" s="22">
        <f t="shared" ref="AB76:AB80" si="36">SUM(D76:AA76)</f>
        <v>2360.91</v>
      </c>
    </row>
    <row r="77" s="1" customFormat="1" ht="20" customHeight="1" spans="1:29">
      <c r="A77" s="15"/>
      <c r="B77" s="16"/>
      <c r="C77" s="17" t="s">
        <v>38</v>
      </c>
      <c r="D77" s="20">
        <v>95.5695</v>
      </c>
      <c r="E77" s="20">
        <v>98.0584</v>
      </c>
      <c r="F77" s="20">
        <v>98.2678</v>
      </c>
      <c r="G77" s="20">
        <v>99.2693</v>
      </c>
      <c r="H77" s="20">
        <v>98.3311</v>
      </c>
      <c r="I77" s="20">
        <v>97.5515</v>
      </c>
      <c r="J77" s="20">
        <v>95.2263</v>
      </c>
      <c r="K77" s="20">
        <v>91.3739</v>
      </c>
      <c r="L77" s="20">
        <v>98.8803</v>
      </c>
      <c r="M77" s="20">
        <v>95.8127</v>
      </c>
      <c r="N77" s="20">
        <v>93.7464</v>
      </c>
      <c r="O77" s="20">
        <v>89.0247</v>
      </c>
      <c r="P77" s="20">
        <v>87.384</v>
      </c>
      <c r="Q77" s="20">
        <v>96.7806</v>
      </c>
      <c r="R77" s="20">
        <v>97.0939</v>
      </c>
      <c r="S77" s="20">
        <v>97.7222</v>
      </c>
      <c r="T77" s="20">
        <v>101.8238</v>
      </c>
      <c r="U77" s="20">
        <v>96.7454</v>
      </c>
      <c r="V77" s="20">
        <v>100.3112</v>
      </c>
      <c r="W77" s="20">
        <v>96.4937</v>
      </c>
      <c r="X77" s="20">
        <v>101.4341</v>
      </c>
      <c r="Y77" s="20">
        <v>100.8304</v>
      </c>
      <c r="Z77" s="20">
        <v>99.3326</v>
      </c>
      <c r="AA77" s="20">
        <v>95.4096</v>
      </c>
      <c r="AB77" s="22">
        <f t="shared" si="36"/>
        <v>2322.4734</v>
      </c>
      <c r="AC77" s="21">
        <f>MAX(D77:AA77)</f>
        <v>101.8238</v>
      </c>
    </row>
    <row r="78" s="1" customFormat="1" ht="20" hidden="1" customHeight="1" spans="1:28">
      <c r="A78" s="15"/>
      <c r="B78" s="16"/>
      <c r="C78" s="17" t="s">
        <v>39</v>
      </c>
      <c r="D78" s="20">
        <f t="shared" ref="D78:AB78" si="37">D76-D77</f>
        <v>0.31049999999999</v>
      </c>
      <c r="E78" s="20">
        <f t="shared" si="37"/>
        <v>1.29159999999999</v>
      </c>
      <c r="F78" s="20">
        <f t="shared" si="37"/>
        <v>2.35220000000001</v>
      </c>
      <c r="G78" s="20">
        <f t="shared" si="37"/>
        <v>1.08069999999999</v>
      </c>
      <c r="H78" s="20">
        <f t="shared" si="37"/>
        <v>1.55889999999999</v>
      </c>
      <c r="I78" s="20">
        <f t="shared" si="37"/>
        <v>2.0685</v>
      </c>
      <c r="J78" s="20">
        <f t="shared" si="37"/>
        <v>1.4837</v>
      </c>
      <c r="K78" s="20">
        <f t="shared" si="37"/>
        <v>2.83609999999999</v>
      </c>
      <c r="L78" s="20">
        <f t="shared" si="37"/>
        <v>0.779699999999991</v>
      </c>
      <c r="M78" s="20">
        <f t="shared" si="37"/>
        <v>2.00729999999999</v>
      </c>
      <c r="N78" s="20">
        <f t="shared" si="37"/>
        <v>1.09360000000001</v>
      </c>
      <c r="O78" s="20">
        <f t="shared" si="37"/>
        <v>3.65530000000001</v>
      </c>
      <c r="P78" s="20">
        <f t="shared" si="37"/>
        <v>1.956</v>
      </c>
      <c r="Q78" s="20">
        <f t="shared" si="37"/>
        <v>2.82939999999999</v>
      </c>
      <c r="R78" s="20">
        <f t="shared" si="37"/>
        <v>2.3861</v>
      </c>
      <c r="S78" s="20">
        <f t="shared" si="37"/>
        <v>2.65779999999999</v>
      </c>
      <c r="T78" s="20">
        <f t="shared" si="37"/>
        <v>-1.16380000000001</v>
      </c>
      <c r="U78" s="20">
        <f t="shared" si="37"/>
        <v>6.7046</v>
      </c>
      <c r="V78" s="20">
        <f t="shared" si="37"/>
        <v>-1.6512</v>
      </c>
      <c r="W78" s="20">
        <f t="shared" si="37"/>
        <v>2.21629999999999</v>
      </c>
      <c r="X78" s="20">
        <f t="shared" si="37"/>
        <v>0.115899999999996</v>
      </c>
      <c r="Y78" s="20">
        <f t="shared" si="37"/>
        <v>-0.190399999999997</v>
      </c>
      <c r="Z78" s="20">
        <f t="shared" si="37"/>
        <v>0.947400000000002</v>
      </c>
      <c r="AA78" s="20">
        <f t="shared" si="37"/>
        <v>1.1104</v>
      </c>
      <c r="AB78" s="22">
        <f t="shared" si="37"/>
        <v>38.4366</v>
      </c>
    </row>
    <row r="79" s="1" customFormat="1" ht="20" hidden="1" customHeight="1" spans="1:28">
      <c r="A79" s="15">
        <v>46138</v>
      </c>
      <c r="B79" s="16">
        <v>4303121811816</v>
      </c>
      <c r="C79" s="17" t="s">
        <v>37</v>
      </c>
      <c r="D79" s="18">
        <v>93.74</v>
      </c>
      <c r="E79" s="18">
        <v>96.77</v>
      </c>
      <c r="F79" s="18">
        <v>96.21</v>
      </c>
      <c r="G79" s="18">
        <v>98.62</v>
      </c>
      <c r="H79" s="18">
        <v>96.33</v>
      </c>
      <c r="I79" s="18">
        <v>95.13</v>
      </c>
      <c r="J79" s="18">
        <v>87.55</v>
      </c>
      <c r="K79" s="18">
        <v>79.62</v>
      </c>
      <c r="L79" s="18">
        <v>81.74</v>
      </c>
      <c r="M79" s="18">
        <v>77.98</v>
      </c>
      <c r="N79" s="18">
        <v>75.74</v>
      </c>
      <c r="O79" s="18">
        <v>71.87</v>
      </c>
      <c r="P79" s="18">
        <v>73.21</v>
      </c>
      <c r="Q79" s="18">
        <v>76.84</v>
      </c>
      <c r="R79" s="18">
        <v>79.52</v>
      </c>
      <c r="S79" s="18">
        <v>82.33</v>
      </c>
      <c r="T79" s="18">
        <v>85.66</v>
      </c>
      <c r="U79" s="18">
        <v>83.84</v>
      </c>
      <c r="V79" s="18">
        <v>81.32</v>
      </c>
      <c r="W79" s="18">
        <v>87.54</v>
      </c>
      <c r="X79" s="18">
        <v>87.31</v>
      </c>
      <c r="Y79" s="18">
        <v>85.99</v>
      </c>
      <c r="Z79" s="18">
        <v>88.18</v>
      </c>
      <c r="AA79" s="18">
        <v>85.32</v>
      </c>
      <c r="AB79" s="22">
        <f t="shared" si="36"/>
        <v>2048.36</v>
      </c>
    </row>
    <row r="80" s="1" customFormat="1" ht="20" customHeight="1" spans="1:29">
      <c r="A80" s="15"/>
      <c r="B80" s="16"/>
      <c r="C80" s="17" t="s">
        <v>38</v>
      </c>
      <c r="D80" s="19">
        <v>96.6627</v>
      </c>
      <c r="E80" s="19">
        <v>98.4033</v>
      </c>
      <c r="F80" s="19">
        <v>99.1865</v>
      </c>
      <c r="G80" s="19">
        <v>99.1795</v>
      </c>
      <c r="H80" s="19">
        <v>96.3442</v>
      </c>
      <c r="I80" s="19">
        <v>95.3409</v>
      </c>
      <c r="J80" s="19">
        <v>89.2567</v>
      </c>
      <c r="K80" s="19">
        <v>78.2338</v>
      </c>
      <c r="L80" s="19">
        <v>81.1131</v>
      </c>
      <c r="M80" s="19">
        <v>79.64</v>
      </c>
      <c r="N80" s="19">
        <v>77.3907</v>
      </c>
      <c r="O80" s="19">
        <v>74.0806</v>
      </c>
      <c r="P80" s="19">
        <v>78.444</v>
      </c>
      <c r="Q80" s="19">
        <v>80.1856</v>
      </c>
      <c r="R80" s="19">
        <v>87.2731</v>
      </c>
      <c r="S80" s="19">
        <v>86.3932</v>
      </c>
      <c r="T80" s="19">
        <v>85.1893</v>
      </c>
      <c r="U80" s="19">
        <v>86.1009</v>
      </c>
      <c r="V80" s="19">
        <v>84.9957</v>
      </c>
      <c r="W80" s="19">
        <v>82.1586</v>
      </c>
      <c r="X80" s="19">
        <v>89.1335</v>
      </c>
      <c r="Y80" s="19">
        <v>87.8909</v>
      </c>
      <c r="Z80" s="19">
        <v>87.1165</v>
      </c>
      <c r="AA80" s="19">
        <v>95.3723</v>
      </c>
      <c r="AB80" s="22">
        <f t="shared" si="36"/>
        <v>2095.0856</v>
      </c>
      <c r="AC80" s="21">
        <f>MAX(D80:AA80)</f>
        <v>99.1865</v>
      </c>
    </row>
    <row r="81" s="1" customFormat="1" ht="20" hidden="1" customHeight="1" spans="1:28">
      <c r="A81" s="15"/>
      <c r="B81" s="16"/>
      <c r="C81" s="17" t="s">
        <v>39</v>
      </c>
      <c r="D81" s="20">
        <f t="shared" ref="D81:AB81" si="38">D79-D80</f>
        <v>-2.92270000000001</v>
      </c>
      <c r="E81" s="20">
        <f t="shared" si="38"/>
        <v>-1.63330000000001</v>
      </c>
      <c r="F81" s="20">
        <f t="shared" si="38"/>
        <v>-2.9765</v>
      </c>
      <c r="G81" s="20">
        <f t="shared" si="38"/>
        <v>-0.5595</v>
      </c>
      <c r="H81" s="20">
        <f t="shared" si="38"/>
        <v>-0.0142000000000024</v>
      </c>
      <c r="I81" s="20">
        <f t="shared" si="38"/>
        <v>-0.210900000000009</v>
      </c>
      <c r="J81" s="20">
        <f t="shared" si="38"/>
        <v>-1.7067</v>
      </c>
      <c r="K81" s="20">
        <f t="shared" si="38"/>
        <v>1.3862</v>
      </c>
      <c r="L81" s="20">
        <f t="shared" si="38"/>
        <v>0.626899999999992</v>
      </c>
      <c r="M81" s="20">
        <f t="shared" si="38"/>
        <v>-1.66</v>
      </c>
      <c r="N81" s="20">
        <f t="shared" si="38"/>
        <v>-1.6507</v>
      </c>
      <c r="O81" s="20">
        <f t="shared" si="38"/>
        <v>-2.2106</v>
      </c>
      <c r="P81" s="20">
        <f t="shared" si="38"/>
        <v>-5.23400000000001</v>
      </c>
      <c r="Q81" s="20">
        <f t="shared" si="38"/>
        <v>-3.34559999999999</v>
      </c>
      <c r="R81" s="20">
        <f t="shared" si="38"/>
        <v>-7.7531</v>
      </c>
      <c r="S81" s="20">
        <f t="shared" si="38"/>
        <v>-4.06319999999999</v>
      </c>
      <c r="T81" s="20">
        <f t="shared" si="38"/>
        <v>0.470699999999994</v>
      </c>
      <c r="U81" s="20">
        <f t="shared" si="38"/>
        <v>-2.26089999999999</v>
      </c>
      <c r="V81" s="20">
        <f t="shared" si="38"/>
        <v>-3.67570000000001</v>
      </c>
      <c r="W81" s="20">
        <f t="shared" si="38"/>
        <v>5.3814</v>
      </c>
      <c r="X81" s="20">
        <f t="shared" si="38"/>
        <v>-1.8235</v>
      </c>
      <c r="Y81" s="20">
        <f t="shared" si="38"/>
        <v>-1.90090000000001</v>
      </c>
      <c r="Z81" s="20">
        <f t="shared" si="38"/>
        <v>1.0635</v>
      </c>
      <c r="AA81" s="20">
        <f t="shared" si="38"/>
        <v>-10.0523</v>
      </c>
      <c r="AB81" s="22">
        <f t="shared" si="38"/>
        <v>-46.7256000000002</v>
      </c>
    </row>
    <row r="82" s="1" customFormat="1" ht="20" hidden="1" customHeight="1" spans="1:28">
      <c r="A82" s="15">
        <v>46139</v>
      </c>
      <c r="B82" s="16">
        <v>4303121811816</v>
      </c>
      <c r="C82" s="17" t="s">
        <v>37</v>
      </c>
      <c r="D82" s="18">
        <v>83.85</v>
      </c>
      <c r="E82" s="18">
        <v>86.77</v>
      </c>
      <c r="F82" s="18">
        <v>87.31</v>
      </c>
      <c r="G82" s="18">
        <v>86.68</v>
      </c>
      <c r="H82" s="18">
        <v>87.99</v>
      </c>
      <c r="I82" s="18">
        <v>88.21</v>
      </c>
      <c r="J82" s="18">
        <v>87.68</v>
      </c>
      <c r="K82" s="18">
        <v>90.54</v>
      </c>
      <c r="L82" s="18">
        <v>104.33</v>
      </c>
      <c r="M82" s="18">
        <v>105.35</v>
      </c>
      <c r="N82" s="18">
        <v>105.28</v>
      </c>
      <c r="O82" s="18">
        <v>98.33</v>
      </c>
      <c r="P82" s="18">
        <v>96.71</v>
      </c>
      <c r="Q82" s="18">
        <v>103.66</v>
      </c>
      <c r="R82" s="18">
        <v>106.21</v>
      </c>
      <c r="S82" s="18">
        <v>105.33</v>
      </c>
      <c r="T82" s="18">
        <v>106.54</v>
      </c>
      <c r="U82" s="18">
        <v>101.75</v>
      </c>
      <c r="V82" s="18">
        <v>101.66</v>
      </c>
      <c r="W82" s="18">
        <v>97.35</v>
      </c>
      <c r="X82" s="18">
        <v>101.58</v>
      </c>
      <c r="Y82" s="18">
        <v>101.22</v>
      </c>
      <c r="Z82" s="18">
        <v>98.62</v>
      </c>
      <c r="AA82" s="18">
        <v>96.11</v>
      </c>
      <c r="AB82" s="22">
        <f t="shared" ref="AB82:AB86" si="39">SUM(D82:AA82)</f>
        <v>2329.06</v>
      </c>
    </row>
    <row r="83" s="1" customFormat="1" ht="20" customHeight="1" spans="1:29">
      <c r="A83" s="15"/>
      <c r="B83" s="16"/>
      <c r="C83" s="17" t="s">
        <v>38</v>
      </c>
      <c r="D83" s="20">
        <v>85.0555</v>
      </c>
      <c r="E83" s="20">
        <v>87.3981</v>
      </c>
      <c r="F83" s="20">
        <v>88.88</v>
      </c>
      <c r="G83" s="20">
        <v>87.9525</v>
      </c>
      <c r="H83" s="20">
        <v>89.2461</v>
      </c>
      <c r="I83" s="20">
        <v>87.8522</v>
      </c>
      <c r="J83" s="20">
        <v>89.4942</v>
      </c>
      <c r="K83" s="20">
        <v>91.2595</v>
      </c>
      <c r="L83" s="20">
        <v>98.8433</v>
      </c>
      <c r="M83" s="20">
        <v>101.3109</v>
      </c>
      <c r="N83" s="20">
        <v>98.1041</v>
      </c>
      <c r="O83" s="20">
        <v>89.899</v>
      </c>
      <c r="P83" s="20">
        <v>93.505</v>
      </c>
      <c r="Q83" s="20">
        <v>104.2606</v>
      </c>
      <c r="R83" s="20">
        <v>108.0922</v>
      </c>
      <c r="S83" s="20">
        <v>108.6941</v>
      </c>
      <c r="T83" s="20">
        <v>108.9915</v>
      </c>
      <c r="U83" s="20">
        <v>108.2699</v>
      </c>
      <c r="V83" s="20">
        <v>104.0794</v>
      </c>
      <c r="W83" s="20">
        <v>100.73</v>
      </c>
      <c r="X83" s="20">
        <v>104.1409</v>
      </c>
      <c r="Y83" s="20">
        <v>104.7816</v>
      </c>
      <c r="Z83" s="20">
        <v>101.8125</v>
      </c>
      <c r="AA83" s="20">
        <v>99.0511</v>
      </c>
      <c r="AB83" s="22">
        <f t="shared" si="39"/>
        <v>2341.7042</v>
      </c>
      <c r="AC83" s="21">
        <f>MAX(D83:AA83)</f>
        <v>108.9915</v>
      </c>
    </row>
    <row r="84" s="1" customFormat="1" ht="20" hidden="1" customHeight="1" spans="1:28">
      <c r="A84" s="15"/>
      <c r="B84" s="16"/>
      <c r="C84" s="17" t="s">
        <v>39</v>
      </c>
      <c r="D84" s="20">
        <f t="shared" ref="D84:AB84" si="40">D82-D83</f>
        <v>-1.2055</v>
      </c>
      <c r="E84" s="20">
        <f t="shared" si="40"/>
        <v>-0.628100000000003</v>
      </c>
      <c r="F84" s="20">
        <f t="shared" si="40"/>
        <v>-1.56999999999999</v>
      </c>
      <c r="G84" s="20">
        <f t="shared" si="40"/>
        <v>-1.27249999999999</v>
      </c>
      <c r="H84" s="20">
        <f t="shared" si="40"/>
        <v>-1.2561</v>
      </c>
      <c r="I84" s="20">
        <f t="shared" si="40"/>
        <v>0.357799999999997</v>
      </c>
      <c r="J84" s="20">
        <f t="shared" si="40"/>
        <v>-1.8142</v>
      </c>
      <c r="K84" s="20">
        <f t="shared" si="40"/>
        <v>-0.719499999999996</v>
      </c>
      <c r="L84" s="20">
        <f t="shared" si="40"/>
        <v>5.4867</v>
      </c>
      <c r="M84" s="20">
        <f t="shared" si="40"/>
        <v>4.03909999999999</v>
      </c>
      <c r="N84" s="20">
        <f t="shared" si="40"/>
        <v>7.1759</v>
      </c>
      <c r="O84" s="20">
        <f t="shared" si="40"/>
        <v>8.431</v>
      </c>
      <c r="P84" s="20">
        <f t="shared" si="40"/>
        <v>3.205</v>
      </c>
      <c r="Q84" s="20">
        <f t="shared" si="40"/>
        <v>-0.6006</v>
      </c>
      <c r="R84" s="20">
        <f t="shared" si="40"/>
        <v>-1.88220000000001</v>
      </c>
      <c r="S84" s="20">
        <f t="shared" si="40"/>
        <v>-3.36410000000001</v>
      </c>
      <c r="T84" s="20">
        <f t="shared" si="40"/>
        <v>-2.4515</v>
      </c>
      <c r="U84" s="20">
        <f t="shared" si="40"/>
        <v>-6.51990000000001</v>
      </c>
      <c r="V84" s="20">
        <f t="shared" si="40"/>
        <v>-2.41940000000001</v>
      </c>
      <c r="W84" s="20">
        <f t="shared" si="40"/>
        <v>-3.38000000000001</v>
      </c>
      <c r="X84" s="20">
        <f t="shared" si="40"/>
        <v>-2.5609</v>
      </c>
      <c r="Y84" s="20">
        <f t="shared" si="40"/>
        <v>-3.5616</v>
      </c>
      <c r="Z84" s="20">
        <f t="shared" si="40"/>
        <v>-3.1925</v>
      </c>
      <c r="AA84" s="20">
        <f t="shared" si="40"/>
        <v>-2.94110000000001</v>
      </c>
      <c r="AB84" s="22">
        <f t="shared" si="40"/>
        <v>-12.6442000000006</v>
      </c>
    </row>
    <row r="85" s="1" customFormat="1" ht="20" hidden="1" customHeight="1" spans="1:28">
      <c r="A85" s="15">
        <v>46140</v>
      </c>
      <c r="B85" s="16">
        <v>4303121811816</v>
      </c>
      <c r="C85" s="17" t="s">
        <v>37</v>
      </c>
      <c r="D85" s="18">
        <v>95.62</v>
      </c>
      <c r="E85" s="18">
        <v>99.21</v>
      </c>
      <c r="F85" s="18">
        <v>100.45</v>
      </c>
      <c r="G85" s="18">
        <v>100.62</v>
      </c>
      <c r="H85" s="18">
        <v>101.11</v>
      </c>
      <c r="I85" s="18">
        <v>99.41</v>
      </c>
      <c r="J85" s="18">
        <v>97.62</v>
      </c>
      <c r="K85" s="18">
        <v>96.38</v>
      </c>
      <c r="L85" s="18">
        <v>101.78</v>
      </c>
      <c r="M85" s="18">
        <v>104.62</v>
      </c>
      <c r="N85" s="18">
        <v>102.44</v>
      </c>
      <c r="O85" s="18">
        <v>98.87</v>
      </c>
      <c r="P85" s="18">
        <v>97.35</v>
      </c>
      <c r="Q85" s="18">
        <v>103.21</v>
      </c>
      <c r="R85" s="18">
        <v>104.76</v>
      </c>
      <c r="S85" s="18">
        <v>104.33</v>
      </c>
      <c r="T85" s="18">
        <v>103.66</v>
      </c>
      <c r="U85" s="18">
        <v>101.87</v>
      </c>
      <c r="V85" s="18">
        <v>99.11</v>
      </c>
      <c r="W85" s="18">
        <v>96.54</v>
      </c>
      <c r="X85" s="18">
        <v>101.62</v>
      </c>
      <c r="Y85" s="18">
        <v>100.58</v>
      </c>
      <c r="Z85" s="18">
        <v>100.22</v>
      </c>
      <c r="AA85" s="18">
        <v>96.35</v>
      </c>
      <c r="AB85" s="22">
        <f t="shared" si="39"/>
        <v>2407.73</v>
      </c>
    </row>
    <row r="86" s="1" customFormat="1" ht="20" customHeight="1" spans="1:29">
      <c r="A86" s="15"/>
      <c r="B86" s="16"/>
      <c r="C86" s="17" t="s">
        <v>38</v>
      </c>
      <c r="D86" s="19">
        <v>99.4101</v>
      </c>
      <c r="E86" s="19">
        <v>102.5904</v>
      </c>
      <c r="F86" s="19">
        <v>102.2173</v>
      </c>
      <c r="G86" s="19">
        <v>101.6752</v>
      </c>
      <c r="H86" s="19">
        <v>102.3704</v>
      </c>
      <c r="I86" s="19">
        <v>101.8124</v>
      </c>
      <c r="J86" s="19">
        <v>97.3685</v>
      </c>
      <c r="K86" s="19">
        <v>97.9511</v>
      </c>
      <c r="L86" s="19">
        <v>106.9182</v>
      </c>
      <c r="M86" s="19">
        <v>107.0116</v>
      </c>
      <c r="N86" s="19">
        <v>106.1879</v>
      </c>
      <c r="O86" s="19">
        <v>99.6917</v>
      </c>
      <c r="P86" s="19">
        <v>99.1566</v>
      </c>
      <c r="Q86" s="19">
        <v>105.3219</v>
      </c>
      <c r="R86" s="19">
        <v>108.4231</v>
      </c>
      <c r="S86" s="19">
        <v>106.9904</v>
      </c>
      <c r="T86" s="19">
        <v>106.3762</v>
      </c>
      <c r="U86" s="19">
        <v>106.8091</v>
      </c>
      <c r="V86" s="19">
        <v>103.5109</v>
      </c>
      <c r="W86" s="19">
        <v>97.629</v>
      </c>
      <c r="X86" s="19">
        <v>102.168</v>
      </c>
      <c r="Y86" s="19">
        <v>102.8174</v>
      </c>
      <c r="Z86" s="19">
        <v>100.2513</v>
      </c>
      <c r="AA86" s="19">
        <v>96.8945</v>
      </c>
      <c r="AB86" s="22">
        <f t="shared" si="39"/>
        <v>2461.5532</v>
      </c>
      <c r="AC86" s="21">
        <f>MAX(D86:AA86)</f>
        <v>108.4231</v>
      </c>
    </row>
    <row r="87" s="1" customFormat="1" ht="20" hidden="1" customHeight="1" spans="1:28">
      <c r="A87" s="15"/>
      <c r="B87" s="16"/>
      <c r="C87" s="17" t="s">
        <v>39</v>
      </c>
      <c r="D87" s="20">
        <f t="shared" ref="D87:AB87" si="41">D85-D86</f>
        <v>-3.7901</v>
      </c>
      <c r="E87" s="20">
        <f t="shared" si="41"/>
        <v>-3.38040000000001</v>
      </c>
      <c r="F87" s="20">
        <f t="shared" si="41"/>
        <v>-1.76729999999999</v>
      </c>
      <c r="G87" s="20">
        <f t="shared" si="41"/>
        <v>-1.0552</v>
      </c>
      <c r="H87" s="20">
        <f t="shared" si="41"/>
        <v>-1.2604</v>
      </c>
      <c r="I87" s="20">
        <f t="shared" si="41"/>
        <v>-2.4024</v>
      </c>
      <c r="J87" s="20">
        <f t="shared" si="41"/>
        <v>0.251500000000007</v>
      </c>
      <c r="K87" s="20">
        <f t="shared" si="41"/>
        <v>-1.5711</v>
      </c>
      <c r="L87" s="20">
        <f t="shared" si="41"/>
        <v>-5.1382</v>
      </c>
      <c r="M87" s="20">
        <f t="shared" si="41"/>
        <v>-2.3916</v>
      </c>
      <c r="N87" s="20">
        <f t="shared" si="41"/>
        <v>-3.7479</v>
      </c>
      <c r="O87" s="20">
        <f t="shared" si="41"/>
        <v>-0.821699999999993</v>
      </c>
      <c r="P87" s="20">
        <f t="shared" si="41"/>
        <v>-1.8066</v>
      </c>
      <c r="Q87" s="20">
        <f t="shared" si="41"/>
        <v>-2.11190000000001</v>
      </c>
      <c r="R87" s="20">
        <f t="shared" si="41"/>
        <v>-3.6631</v>
      </c>
      <c r="S87" s="20">
        <f t="shared" si="41"/>
        <v>-2.6604</v>
      </c>
      <c r="T87" s="20">
        <f t="shared" si="41"/>
        <v>-2.7162</v>
      </c>
      <c r="U87" s="20">
        <f t="shared" si="41"/>
        <v>-4.9391</v>
      </c>
      <c r="V87" s="20">
        <f t="shared" si="41"/>
        <v>-4.40090000000001</v>
      </c>
      <c r="W87" s="20">
        <f t="shared" si="41"/>
        <v>-1.089</v>
      </c>
      <c r="X87" s="20">
        <f t="shared" si="41"/>
        <v>-0.548000000000002</v>
      </c>
      <c r="Y87" s="20">
        <f t="shared" si="41"/>
        <v>-2.23740000000001</v>
      </c>
      <c r="Z87" s="20">
        <f t="shared" si="41"/>
        <v>-0.0313000000000017</v>
      </c>
      <c r="AA87" s="20">
        <f t="shared" si="41"/>
        <v>-0.544499999999999</v>
      </c>
      <c r="AB87" s="22">
        <f t="shared" si="41"/>
        <v>-53.8232000000003</v>
      </c>
    </row>
    <row r="88" s="1" customFormat="1" ht="20" hidden="1" customHeight="1" spans="1:28">
      <c r="A88" s="15">
        <v>46141</v>
      </c>
      <c r="B88" s="16">
        <v>4303121811816</v>
      </c>
      <c r="C88" s="17" t="s">
        <v>37</v>
      </c>
      <c r="D88" s="18">
        <v>94.58</v>
      </c>
      <c r="E88" s="18">
        <v>98.55</v>
      </c>
      <c r="F88" s="18">
        <v>98.62</v>
      </c>
      <c r="G88" s="18">
        <v>99.66</v>
      </c>
      <c r="H88" s="18">
        <v>99.54</v>
      </c>
      <c r="I88" s="18">
        <v>97.85</v>
      </c>
      <c r="J88" s="18">
        <v>95.87</v>
      </c>
      <c r="K88" s="18">
        <v>96.33</v>
      </c>
      <c r="L88" s="18">
        <v>100.68</v>
      </c>
      <c r="M88" s="18">
        <v>103.54</v>
      </c>
      <c r="N88" s="18">
        <v>101.66</v>
      </c>
      <c r="O88" s="18">
        <v>98.66</v>
      </c>
      <c r="P88" s="18">
        <v>97.54</v>
      </c>
      <c r="Q88" s="18">
        <v>103.18</v>
      </c>
      <c r="R88" s="18">
        <v>103.62</v>
      </c>
      <c r="S88" s="18">
        <v>104.18</v>
      </c>
      <c r="T88" s="18">
        <v>103.58</v>
      </c>
      <c r="U88" s="18">
        <v>101.38</v>
      </c>
      <c r="V88" s="18">
        <v>99.32</v>
      </c>
      <c r="W88" s="18">
        <v>96.48</v>
      </c>
      <c r="X88" s="18">
        <v>101.22</v>
      </c>
      <c r="Y88" s="18">
        <v>100.35</v>
      </c>
      <c r="Z88" s="18">
        <v>100.18</v>
      </c>
      <c r="AA88" s="18">
        <v>96.33</v>
      </c>
      <c r="AB88" s="22">
        <f t="shared" ref="AB88:AB92" si="42">SUM(D88:AA88)</f>
        <v>2392.9</v>
      </c>
    </row>
    <row r="89" s="1" customFormat="1" ht="20" customHeight="1" spans="1:29">
      <c r="A89" s="15"/>
      <c r="B89" s="16"/>
      <c r="C89" s="17" t="s">
        <v>38</v>
      </c>
      <c r="D89" s="20">
        <v>95.7405</v>
      </c>
      <c r="E89" s="20">
        <v>98.4474</v>
      </c>
      <c r="F89" s="20">
        <v>100.855</v>
      </c>
      <c r="G89" s="20">
        <v>100.2672</v>
      </c>
      <c r="H89" s="20">
        <v>98.7149</v>
      </c>
      <c r="I89" s="20">
        <v>98.6304</v>
      </c>
      <c r="J89" s="20">
        <v>94.343</v>
      </c>
      <c r="K89" s="20">
        <v>94.9907</v>
      </c>
      <c r="L89" s="20">
        <v>102.9987</v>
      </c>
      <c r="M89" s="20">
        <v>101.9691</v>
      </c>
      <c r="N89" s="20">
        <v>102.1469</v>
      </c>
      <c r="O89" s="20">
        <v>94.6105</v>
      </c>
      <c r="P89" s="20">
        <v>94.0628</v>
      </c>
      <c r="Q89" s="20">
        <v>102.4805</v>
      </c>
      <c r="R89" s="20">
        <v>103.1395</v>
      </c>
      <c r="S89" s="20">
        <v>103.1941</v>
      </c>
      <c r="T89" s="20">
        <v>101.9709</v>
      </c>
      <c r="U89" s="20">
        <v>101.5872</v>
      </c>
      <c r="V89" s="20">
        <v>98.78</v>
      </c>
      <c r="W89" s="20">
        <v>93.1234</v>
      </c>
      <c r="X89" s="20">
        <v>99.1742</v>
      </c>
      <c r="Y89" s="20">
        <v>96.5519</v>
      </c>
      <c r="Z89" s="20">
        <v>96.4181</v>
      </c>
      <c r="AA89" s="20">
        <v>93.2565</v>
      </c>
      <c r="AB89" s="22">
        <f t="shared" si="42"/>
        <v>2367.4534</v>
      </c>
      <c r="AC89" s="21">
        <f>MAX(D89:AA89)</f>
        <v>103.1941</v>
      </c>
    </row>
    <row r="90" s="1" customFormat="1" ht="20" hidden="1" customHeight="1" spans="1:28">
      <c r="A90" s="15"/>
      <c r="B90" s="16"/>
      <c r="C90" s="17" t="s">
        <v>39</v>
      </c>
      <c r="D90" s="20">
        <f t="shared" ref="D90:AB90" si="43">D88-D89</f>
        <v>-1.1605</v>
      </c>
      <c r="E90" s="20">
        <f t="shared" si="43"/>
        <v>0.102599999999995</v>
      </c>
      <c r="F90" s="20">
        <f t="shared" si="43"/>
        <v>-2.235</v>
      </c>
      <c r="G90" s="20">
        <f t="shared" si="43"/>
        <v>-0.607200000000006</v>
      </c>
      <c r="H90" s="20">
        <f t="shared" si="43"/>
        <v>0.825100000000006</v>
      </c>
      <c r="I90" s="20">
        <f t="shared" si="43"/>
        <v>-0.7804</v>
      </c>
      <c r="J90" s="20">
        <f t="shared" si="43"/>
        <v>1.527</v>
      </c>
      <c r="K90" s="20">
        <f t="shared" si="43"/>
        <v>1.33929999999999</v>
      </c>
      <c r="L90" s="20">
        <f t="shared" si="43"/>
        <v>-2.31869999999999</v>
      </c>
      <c r="M90" s="20">
        <f t="shared" si="43"/>
        <v>1.57090000000001</v>
      </c>
      <c r="N90" s="20">
        <f t="shared" si="43"/>
        <v>-0.486900000000006</v>
      </c>
      <c r="O90" s="20">
        <f t="shared" si="43"/>
        <v>4.04949999999999</v>
      </c>
      <c r="P90" s="20">
        <f t="shared" si="43"/>
        <v>3.47720000000001</v>
      </c>
      <c r="Q90" s="20">
        <f t="shared" si="43"/>
        <v>0.6995</v>
      </c>
      <c r="R90" s="20">
        <f t="shared" si="43"/>
        <v>0.480500000000006</v>
      </c>
      <c r="S90" s="20">
        <f t="shared" si="43"/>
        <v>0.985900000000001</v>
      </c>
      <c r="T90" s="20">
        <f t="shared" si="43"/>
        <v>1.6091</v>
      </c>
      <c r="U90" s="20">
        <f t="shared" si="43"/>
        <v>-0.2072</v>
      </c>
      <c r="V90" s="20">
        <f t="shared" si="43"/>
        <v>0.539999999999992</v>
      </c>
      <c r="W90" s="20">
        <f t="shared" si="43"/>
        <v>3.3566</v>
      </c>
      <c r="X90" s="20">
        <f t="shared" si="43"/>
        <v>2.0458</v>
      </c>
      <c r="Y90" s="20">
        <f t="shared" si="43"/>
        <v>3.79809999999999</v>
      </c>
      <c r="Z90" s="20">
        <f t="shared" si="43"/>
        <v>3.76190000000001</v>
      </c>
      <c r="AA90" s="20">
        <f t="shared" si="43"/>
        <v>3.0735</v>
      </c>
      <c r="AB90" s="22">
        <f t="shared" si="43"/>
        <v>25.4466000000002</v>
      </c>
    </row>
    <row r="91" s="1" customFormat="1" ht="20" hidden="1" customHeight="1" spans="1:28">
      <c r="A91" s="15">
        <v>46142</v>
      </c>
      <c r="B91" s="16">
        <v>4303121811816</v>
      </c>
      <c r="C91" s="17" t="s">
        <v>37</v>
      </c>
      <c r="D91" s="18">
        <v>95.11</v>
      </c>
      <c r="E91" s="18">
        <v>98.48</v>
      </c>
      <c r="F91" s="18">
        <v>98.74</v>
      </c>
      <c r="G91" s="18">
        <v>99.62</v>
      </c>
      <c r="H91" s="18">
        <v>99.55</v>
      </c>
      <c r="I91" s="18">
        <v>97.8</v>
      </c>
      <c r="J91" s="18">
        <v>95.62</v>
      </c>
      <c r="K91" s="18">
        <v>96.35</v>
      </c>
      <c r="L91" s="18">
        <v>100.28</v>
      </c>
      <c r="M91" s="18">
        <v>103.22</v>
      </c>
      <c r="N91" s="18">
        <v>101.54</v>
      </c>
      <c r="O91" s="18">
        <v>98.55</v>
      </c>
      <c r="P91" s="18">
        <v>97.62</v>
      </c>
      <c r="Q91" s="18">
        <v>103.11</v>
      </c>
      <c r="R91" s="18">
        <v>103.28</v>
      </c>
      <c r="S91" s="18">
        <v>104.33</v>
      </c>
      <c r="T91" s="18">
        <v>65.245</v>
      </c>
      <c r="U91" s="18">
        <v>59.9544</v>
      </c>
      <c r="V91" s="18">
        <v>55.2235</v>
      </c>
      <c r="W91" s="18">
        <v>44.7551</v>
      </c>
      <c r="X91" s="18">
        <v>40.4343</v>
      </c>
      <c r="Y91" s="18">
        <v>39.2726</v>
      </c>
      <c r="Z91" s="18">
        <v>37.2099</v>
      </c>
      <c r="AA91" s="18">
        <v>32.8082</v>
      </c>
      <c r="AB91" s="22">
        <f t="shared" si="42"/>
        <v>1968.103</v>
      </c>
    </row>
    <row r="92" s="1" customFormat="1" ht="20" customHeight="1" spans="1:29">
      <c r="A92" s="15"/>
      <c r="B92" s="16"/>
      <c r="C92" s="17" t="s">
        <v>38</v>
      </c>
      <c r="D92" s="19">
        <v>92.238</v>
      </c>
      <c r="E92" s="19">
        <v>93.7989</v>
      </c>
      <c r="F92" s="19">
        <v>95.8971</v>
      </c>
      <c r="G92" s="19">
        <v>94.5102</v>
      </c>
      <c r="H92" s="19">
        <v>95.0576</v>
      </c>
      <c r="I92" s="19">
        <v>92.8136</v>
      </c>
      <c r="J92" s="19">
        <v>86.7451</v>
      </c>
      <c r="K92" s="19">
        <v>83.7743</v>
      </c>
      <c r="L92" s="19">
        <v>87.0554</v>
      </c>
      <c r="M92" s="19">
        <v>85.7859</v>
      </c>
      <c r="N92" s="19">
        <v>82.7253</v>
      </c>
      <c r="O92" s="19">
        <v>77.9468</v>
      </c>
      <c r="P92" s="19">
        <v>79.4974</v>
      </c>
      <c r="Q92" s="19">
        <v>85.3107</v>
      </c>
      <c r="R92" s="19">
        <v>82.5159</v>
      </c>
      <c r="S92" s="19">
        <v>77.9451</v>
      </c>
      <c r="T92" s="19">
        <v>69.2472</v>
      </c>
      <c r="U92" s="19">
        <v>59.789</v>
      </c>
      <c r="V92" s="19">
        <v>48.4528</v>
      </c>
      <c r="W92" s="19">
        <v>41.4568</v>
      </c>
      <c r="X92" s="19">
        <v>35.4957</v>
      </c>
      <c r="Y92" s="19">
        <v>31.9599</v>
      </c>
      <c r="Z92" s="19">
        <v>30.2808</v>
      </c>
      <c r="AA92" s="19">
        <v>27.5387</v>
      </c>
      <c r="AB92" s="22">
        <f t="shared" si="42"/>
        <v>1737.8382</v>
      </c>
      <c r="AC92" s="21">
        <f>MAX(D92:AA92)</f>
        <v>95.8971</v>
      </c>
    </row>
    <row r="93" s="1" customFormat="1" ht="20" hidden="1" customHeight="1" spans="1:28">
      <c r="A93" s="15"/>
      <c r="B93" s="16"/>
      <c r="C93" s="17" t="s">
        <v>39</v>
      </c>
      <c r="D93" s="20">
        <f t="shared" ref="D93:AB93" si="44">D91-D92</f>
        <v>2.872</v>
      </c>
      <c r="E93" s="20">
        <f t="shared" si="44"/>
        <v>4.6811</v>
      </c>
      <c r="F93" s="20">
        <f t="shared" si="44"/>
        <v>2.8429</v>
      </c>
      <c r="G93" s="20">
        <f t="shared" si="44"/>
        <v>5.10980000000001</v>
      </c>
      <c r="H93" s="20">
        <f t="shared" si="44"/>
        <v>4.4924</v>
      </c>
      <c r="I93" s="20">
        <f t="shared" si="44"/>
        <v>4.9864</v>
      </c>
      <c r="J93" s="20">
        <f t="shared" si="44"/>
        <v>8.87490000000001</v>
      </c>
      <c r="K93" s="20">
        <f t="shared" si="44"/>
        <v>12.5757</v>
      </c>
      <c r="L93" s="20">
        <f t="shared" si="44"/>
        <v>13.2246</v>
      </c>
      <c r="M93" s="20">
        <f t="shared" si="44"/>
        <v>17.4341</v>
      </c>
      <c r="N93" s="20">
        <f t="shared" si="44"/>
        <v>18.8147</v>
      </c>
      <c r="O93" s="20">
        <f t="shared" si="44"/>
        <v>20.6032</v>
      </c>
      <c r="P93" s="20">
        <f t="shared" si="44"/>
        <v>18.1226</v>
      </c>
      <c r="Q93" s="20">
        <f t="shared" si="44"/>
        <v>17.7993</v>
      </c>
      <c r="R93" s="20">
        <f t="shared" si="44"/>
        <v>20.7641</v>
      </c>
      <c r="S93" s="20">
        <f t="shared" si="44"/>
        <v>26.3849</v>
      </c>
      <c r="T93" s="20">
        <f t="shared" si="44"/>
        <v>-4.0022</v>
      </c>
      <c r="U93" s="20">
        <f t="shared" si="44"/>
        <v>0.165399999999998</v>
      </c>
      <c r="V93" s="20">
        <f t="shared" si="44"/>
        <v>6.7707</v>
      </c>
      <c r="W93" s="20">
        <f t="shared" si="44"/>
        <v>3.2983</v>
      </c>
      <c r="X93" s="20">
        <f t="shared" si="44"/>
        <v>4.9386</v>
      </c>
      <c r="Y93" s="20">
        <f t="shared" si="44"/>
        <v>7.3127</v>
      </c>
      <c r="Z93" s="20">
        <f t="shared" si="44"/>
        <v>6.9291</v>
      </c>
      <c r="AA93" s="20">
        <f t="shared" si="44"/>
        <v>5.2695</v>
      </c>
      <c r="AB93" s="22">
        <f t="shared" si="44"/>
        <v>230.2648</v>
      </c>
    </row>
    <row r="94" s="1" customFormat="1" ht="20" customHeight="1" spans="1:29">
      <c r="A94" s="26"/>
      <c r="B94" s="26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C94" s="21"/>
    </row>
    <row r="95" s="1" customFormat="1" ht="20" customHeight="1" spans="1:29">
      <c r="A95" s="26"/>
      <c r="B95" s="26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C95" s="21"/>
    </row>
    <row r="96" s="1" customFormat="1" ht="20" customHeight="1" spans="1:29">
      <c r="A96" s="26"/>
      <c r="B96" s="26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C96" s="21"/>
    </row>
    <row r="97" s="1" customFormat="1" ht="20" customHeight="1" spans="1:29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C97" s="21"/>
    </row>
    <row r="98" s="1" customFormat="1" ht="20" customHeight="1" spans="1:29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C98" s="21"/>
    </row>
    <row r="99" s="1" customFormat="1" ht="20" customHeight="1" spans="1:29">
      <c r="A99" s="26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C99" s="21"/>
    </row>
    <row r="100" s="1" customFormat="1" ht="20" customHeight="1" spans="1:29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C100" s="21"/>
    </row>
    <row r="101" s="1" customFormat="1" ht="20" customHeight="1" spans="1:29">
      <c r="A101" s="26"/>
      <c r="B101" s="28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C101" s="21"/>
    </row>
    <row r="102" s="1" customFormat="1" ht="14.25" spans="1:29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C102" s="21"/>
    </row>
    <row r="103" s="1" customFormat="1" ht="14.25" spans="1:29">
      <c r="A103" s="26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C103" s="21"/>
    </row>
    <row r="104" s="1" customFormat="1" ht="20" customHeight="1" spans="1:29">
      <c r="A104" s="26"/>
      <c r="B104" s="26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C104" s="21"/>
    </row>
    <row r="105" s="1" customFormat="1" ht="20" customHeight="1" spans="1:29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C105" s="21"/>
    </row>
    <row r="106" s="1" customFormat="1" ht="20" customHeight="1" spans="1:29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C106" s="21"/>
    </row>
    <row r="107" s="1" customFormat="1" ht="20" customHeight="1" spans="1:29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C107" s="21"/>
    </row>
    <row r="108" s="1" customFormat="1" ht="20" customHeight="1" spans="1:29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C108" s="21"/>
    </row>
    <row r="109" s="1" customFormat="1" ht="20" customHeight="1" spans="1:29">
      <c r="A109" s="26"/>
      <c r="B109" s="26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C109" s="21"/>
    </row>
    <row r="110" s="1" customFormat="1" ht="20" customHeight="1" spans="1:29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C110" s="21"/>
    </row>
    <row r="111" s="1" customFormat="1" ht="20" customHeight="1" spans="1:29">
      <c r="A111" s="26"/>
      <c r="B111" s="28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C111" s="21"/>
    </row>
    <row r="112" s="1" customFormat="1" ht="14.25" spans="1:29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C112" s="21"/>
    </row>
    <row r="113" s="1" customFormat="1" ht="14.25" spans="1:29">
      <c r="A113" s="26"/>
      <c r="B113" s="26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C113" s="21"/>
    </row>
    <row r="114" s="1" customFormat="1" ht="20" customHeight="1" spans="1:29">
      <c r="A114" s="26"/>
      <c r="B114" s="26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C114" s="21"/>
    </row>
    <row r="115" s="1" customFormat="1" ht="20" customHeight="1" spans="1:29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C115" s="21"/>
    </row>
    <row r="116" s="1" customFormat="1" ht="20" customHeight="1" spans="1:29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C116" s="21"/>
    </row>
    <row r="117" s="1" customFormat="1" ht="20" customHeight="1" spans="1:29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C117" s="21"/>
    </row>
    <row r="118" s="1" customFormat="1" ht="20" customHeight="1" spans="1:29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C118" s="21"/>
    </row>
    <row r="119" s="1" customFormat="1" ht="20" customHeight="1" spans="1:29">
      <c r="A119" s="26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C119" s="21"/>
    </row>
    <row r="120" s="1" customFormat="1" ht="20" customHeight="1" spans="1:29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C120" s="21"/>
    </row>
    <row r="121" s="1" customFormat="1" ht="20" customHeight="1" spans="1:29">
      <c r="A121" s="26"/>
      <c r="B121" s="28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C121" s="21"/>
    </row>
    <row r="122" s="1" customFormat="1" ht="14.25" spans="1:29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C122" s="21"/>
    </row>
    <row r="123" s="1" customFormat="1" ht="14.25" spans="1:29">
      <c r="A123" s="26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C123" s="21"/>
    </row>
    <row r="124" s="1" customFormat="1" ht="20" customHeight="1" spans="1:29">
      <c r="A124" s="26"/>
      <c r="B124" s="26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C124" s="21"/>
    </row>
    <row r="125" s="1" customFormat="1" ht="20" customHeight="1" spans="1:29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C125" s="21"/>
    </row>
    <row r="126" s="1" customFormat="1" ht="20" customHeight="1" spans="1:29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C126" s="21"/>
    </row>
    <row r="127" s="1" customFormat="1" ht="20" customHeight="1" spans="1:29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C127" s="21"/>
    </row>
    <row r="128" s="1" customFormat="1" ht="20" customHeight="1" spans="1:29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C128" s="21"/>
    </row>
    <row r="129" s="1" customFormat="1" ht="20" customHeight="1" spans="1:29">
      <c r="A129" s="26"/>
      <c r="B129" s="26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C129" s="21"/>
    </row>
    <row r="130" s="1" customFormat="1" ht="20" customHeight="1" spans="1:29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C130" s="21"/>
    </row>
    <row r="131" s="1" customFormat="1" ht="20" customHeight="1" spans="1:29">
      <c r="A131" s="26"/>
      <c r="B131" s="28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C131" s="21"/>
    </row>
    <row r="132" s="1" customFormat="1" ht="14.25" spans="1:29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C132" s="21"/>
    </row>
    <row r="133" s="1" customFormat="1" ht="14.25" spans="1:29">
      <c r="A133" s="26"/>
      <c r="B133" s="26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C133" s="21"/>
    </row>
    <row r="134" s="1" customFormat="1" ht="20" customHeight="1" spans="1:29">
      <c r="A134" s="26"/>
      <c r="B134" s="26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C134" s="21"/>
    </row>
    <row r="135" s="1" customFormat="1" ht="20" customHeight="1" spans="1:29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C135" s="21"/>
    </row>
    <row r="136" s="1" customFormat="1" ht="20" customHeight="1" spans="1:29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C136" s="21"/>
    </row>
    <row r="137" s="1" customFormat="1" ht="20" customHeight="1" spans="1:29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C137" s="21"/>
    </row>
    <row r="138" s="1" customFormat="1" ht="20" customHeight="1" spans="1:29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C138" s="21"/>
    </row>
    <row r="139" s="1" customFormat="1" ht="20" customHeight="1" spans="1:29">
      <c r="A139" s="26"/>
      <c r="B139" s="26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C139" s="21"/>
    </row>
    <row r="140" s="1" customFormat="1" ht="20" customHeight="1" spans="1:29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C140" s="21"/>
    </row>
    <row r="141" s="1" customFormat="1" ht="20" customHeight="1" spans="1:29">
      <c r="A141" s="26"/>
      <c r="B141" s="28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C141" s="21"/>
    </row>
    <row r="142" s="1" customFormat="1" ht="14.25" spans="1:29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C142" s="21"/>
    </row>
    <row r="143" s="1" customFormat="1" ht="14.25" spans="1:29">
      <c r="A143" s="26"/>
      <c r="B143" s="26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C143" s="21"/>
    </row>
    <row r="144" s="1" customFormat="1" ht="20" customHeight="1" spans="1:29">
      <c r="A144" s="26"/>
      <c r="B144" s="26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C144" s="21"/>
    </row>
    <row r="145" s="1" customFormat="1" ht="20" customHeight="1" spans="1:29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C145" s="21"/>
    </row>
    <row r="146" s="1" customFormat="1" ht="20" customHeight="1" spans="1:29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C146" s="21"/>
    </row>
    <row r="147" s="1" customFormat="1" ht="20" customHeight="1" spans="1:29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C147" s="21"/>
    </row>
    <row r="148" s="1" customFormat="1" ht="20" customHeight="1" spans="1:29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C148" s="21"/>
    </row>
    <row r="149" s="1" customFormat="1" ht="20" customHeight="1" spans="1:29">
      <c r="A149" s="26"/>
      <c r="B149" s="26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C149" s="21"/>
    </row>
    <row r="150" s="1" customFormat="1" ht="20" customHeight="1" spans="1:29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C150" s="21"/>
    </row>
    <row r="151" s="1" customFormat="1" ht="20" customHeight="1" spans="1:29">
      <c r="A151" s="26"/>
      <c r="B151" s="28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C151" s="21"/>
    </row>
    <row r="152" s="1" customFormat="1" ht="14.25" spans="1:29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C152" s="21"/>
    </row>
    <row r="153" s="1" customFormat="1" ht="14.25" spans="1:29">
      <c r="A153" s="26"/>
      <c r="B153" s="26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C153" s="21"/>
    </row>
    <row r="154" s="1" customFormat="1" ht="20" customHeight="1" spans="1:29">
      <c r="A154" s="26"/>
      <c r="B154" s="26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C154" s="21"/>
    </row>
    <row r="155" s="1" customFormat="1" ht="20" customHeight="1" spans="1:29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C155" s="21"/>
    </row>
    <row r="156" s="1" customFormat="1" ht="20" customHeight="1" spans="1:29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C156" s="21"/>
    </row>
    <row r="157" s="1" customFormat="1" ht="20" customHeight="1" spans="1:29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C157" s="21"/>
    </row>
    <row r="158" s="1" customFormat="1" ht="20" customHeight="1" spans="1:29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C158" s="21"/>
    </row>
    <row r="159" s="1" customFormat="1" ht="20" customHeight="1" spans="1:29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C159" s="21"/>
    </row>
    <row r="160" s="1" customFormat="1" ht="20" customHeight="1" spans="1:29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C160" s="21"/>
    </row>
    <row r="161" s="1" customFormat="1" ht="20" customHeight="1" spans="1:29">
      <c r="A161" s="26"/>
      <c r="B161" s="28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C161" s="21"/>
    </row>
    <row r="162" s="1" customFormat="1" ht="14.25" spans="1:29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C162" s="21"/>
    </row>
    <row r="163" s="1" customFormat="1" ht="14.25" spans="1:29">
      <c r="A163" s="26"/>
      <c r="B163" s="26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C163" s="21"/>
    </row>
    <row r="164" s="1" customFormat="1" ht="20" customHeight="1" spans="1:29">
      <c r="A164" s="26"/>
      <c r="B164" s="26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C164" s="21"/>
    </row>
    <row r="165" s="1" customFormat="1" ht="20" customHeight="1" spans="1:29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C165" s="21"/>
    </row>
    <row r="166" s="1" customFormat="1" ht="20" customHeight="1" spans="1:29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C166" s="21"/>
    </row>
    <row r="167" s="1" customFormat="1" ht="20" customHeight="1" spans="1:29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C167" s="21"/>
    </row>
    <row r="168" s="1" customFormat="1" ht="20" customHeight="1" spans="1:29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C168" s="21"/>
    </row>
    <row r="169" s="1" customFormat="1" ht="20" customHeight="1" spans="1:29">
      <c r="A169" s="26"/>
      <c r="B169" s="26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C169" s="21"/>
    </row>
    <row r="170" s="1" customFormat="1" ht="20" customHeight="1" spans="1:29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C170" s="21"/>
    </row>
    <row r="171" s="1" customFormat="1" ht="20" customHeight="1" spans="1:29">
      <c r="A171" s="26"/>
      <c r="B171" s="28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C171" s="21"/>
    </row>
    <row r="172" s="1" customFormat="1" ht="14.25" spans="1:29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C172" s="21"/>
    </row>
    <row r="173" s="1" customFormat="1" ht="14.25" spans="1:29">
      <c r="A173" s="26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C173" s="21"/>
    </row>
    <row r="174" s="1" customFormat="1" ht="20" customHeight="1" spans="1:29">
      <c r="A174" s="26"/>
      <c r="B174" s="26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C174" s="21"/>
    </row>
    <row r="175" s="1" customFormat="1" ht="20" customHeight="1" spans="1:29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C175" s="21"/>
    </row>
    <row r="176" s="1" customFormat="1" ht="20" customHeight="1" spans="1:29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C176" s="21"/>
    </row>
    <row r="177" s="1" customFormat="1" ht="20" customHeight="1" spans="1:29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C177" s="21"/>
    </row>
    <row r="178" s="1" customFormat="1" ht="20" customHeight="1" spans="1:29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C178" s="21"/>
    </row>
    <row r="179" s="1" customFormat="1" ht="20" customHeight="1" spans="1:29">
      <c r="A179" s="26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C179" s="21"/>
    </row>
    <row r="180" s="1" customFormat="1" ht="20" customHeight="1" spans="1:29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C180" s="21"/>
    </row>
    <row r="181" s="1" customFormat="1" ht="20" customHeight="1" spans="1:29">
      <c r="A181" s="26"/>
      <c r="B181" s="28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C181" s="21"/>
    </row>
    <row r="182" s="1" customFormat="1" ht="14.25" spans="1:29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C182" s="21"/>
    </row>
    <row r="183" s="1" customFormat="1" ht="14.25" spans="1:29">
      <c r="A183" s="26"/>
      <c r="B183" s="26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C183" s="21"/>
    </row>
    <row r="184" s="1" customFormat="1" ht="20" customHeight="1" spans="1:29">
      <c r="A184" s="26"/>
      <c r="B184" s="26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C184" s="21"/>
    </row>
    <row r="185" s="1" customFormat="1" ht="20" customHeight="1" spans="1:29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C185" s="21"/>
    </row>
    <row r="186" s="1" customFormat="1" ht="20" customHeight="1" spans="1:29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C186" s="21"/>
    </row>
    <row r="187" s="1" customFormat="1" ht="20" customHeight="1" spans="1:29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C187" s="21"/>
    </row>
    <row r="188" s="1" customFormat="1" ht="20" customHeight="1" spans="1:29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C188" s="21"/>
    </row>
    <row r="189" s="1" customFormat="1" ht="20" customHeight="1" spans="1:29">
      <c r="A189" s="26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C189" s="21"/>
    </row>
    <row r="190" s="1" customFormat="1" ht="20" customHeight="1" spans="1:29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C190" s="21"/>
    </row>
    <row r="191" s="1" customFormat="1" ht="20" customHeight="1" spans="1:29">
      <c r="A191" s="26"/>
      <c r="B191" s="28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C191" s="21"/>
    </row>
    <row r="192" s="1" customFormat="1" ht="14.25" spans="1:29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C192" s="21"/>
    </row>
    <row r="193" s="1" customFormat="1" ht="14.25" spans="1:29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C193" s="21"/>
    </row>
    <row r="194" s="1" customFormat="1" ht="20" customHeight="1" spans="1:29">
      <c r="A194" s="26"/>
      <c r="B194" s="26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C194" s="21"/>
    </row>
    <row r="195" s="1" customFormat="1" ht="20" customHeight="1" spans="1:29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C195" s="21"/>
    </row>
    <row r="196" s="1" customFormat="1" ht="20" customHeight="1" spans="1:29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C196" s="21"/>
    </row>
    <row r="197" s="1" customFormat="1" ht="20" customHeight="1" spans="1:29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C197" s="21"/>
    </row>
    <row r="198" s="1" customFormat="1" ht="20" customHeight="1" spans="1:29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C198" s="21"/>
    </row>
    <row r="199" s="1" customFormat="1" ht="20" customHeight="1" spans="1:29">
      <c r="A199" s="26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C199" s="21"/>
    </row>
    <row r="200" s="1" customFormat="1" ht="20" customHeight="1" spans="1:29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C200" s="21"/>
    </row>
    <row r="201" s="1" customFormat="1" ht="20" customHeight="1" spans="1:29">
      <c r="A201" s="26"/>
      <c r="B201" s="28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C201" s="21"/>
    </row>
    <row r="202" s="1" customFormat="1" ht="14.25" spans="1:29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C202" s="21"/>
    </row>
    <row r="203" s="1" customFormat="1" ht="14.25" spans="1:29">
      <c r="A203" s="26"/>
      <c r="B203" s="26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C203" s="21"/>
    </row>
    <row r="204" s="1" customFormat="1" ht="20" customHeight="1" spans="1:29">
      <c r="A204" s="26"/>
      <c r="B204" s="26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C204" s="21"/>
    </row>
    <row r="205" s="1" customFormat="1" ht="20" customHeight="1" spans="1:29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C205" s="21"/>
    </row>
    <row r="206" s="1" customFormat="1" ht="20" customHeight="1" spans="1:29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C206" s="21"/>
    </row>
    <row r="207" s="1" customFormat="1" ht="20" customHeight="1" spans="1:29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C207" s="21"/>
    </row>
    <row r="208" s="1" customFormat="1" ht="20" customHeight="1" spans="1:29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C208" s="21"/>
    </row>
    <row r="209" s="1" customFormat="1" ht="20" customHeight="1" spans="1:29">
      <c r="A209" s="26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C209" s="21"/>
    </row>
    <row r="210" s="1" customFormat="1" ht="20" customHeight="1" spans="1:29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C210" s="21"/>
    </row>
    <row r="211" s="1" customFormat="1" ht="20" customHeight="1" spans="1:29">
      <c r="A211" s="26"/>
      <c r="B211" s="28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C211" s="21"/>
    </row>
    <row r="212" s="1" customFormat="1" ht="14.25" spans="1:29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C212" s="21"/>
    </row>
    <row r="213" s="1" customFormat="1" ht="14.25" spans="1:29">
      <c r="A213" s="26"/>
      <c r="B213" s="26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C213" s="21"/>
    </row>
    <row r="214" s="1" customFormat="1" ht="20" customHeight="1" spans="1:29">
      <c r="A214" s="26"/>
      <c r="B214" s="26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C214" s="21"/>
    </row>
    <row r="215" s="1" customFormat="1" ht="20" customHeight="1" spans="1:29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C215" s="21"/>
    </row>
    <row r="216" s="1" customFormat="1" ht="20" customHeight="1" spans="1:29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C216" s="21"/>
    </row>
    <row r="217" s="1" customFormat="1" ht="20" customHeight="1" spans="1:29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C217" s="21"/>
    </row>
    <row r="218" s="1" customFormat="1" ht="20" customHeight="1" spans="1:29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C218" s="21"/>
    </row>
    <row r="219" s="1" customFormat="1" ht="20" customHeight="1" spans="1:29">
      <c r="A219" s="26"/>
      <c r="B219" s="26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C219" s="21"/>
    </row>
    <row r="220" s="1" customFormat="1" ht="20" customHeight="1" spans="1:29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C220" s="21"/>
    </row>
    <row r="221" s="1" customFormat="1" ht="20" customHeight="1" spans="1:29">
      <c r="A221" s="26"/>
      <c r="B221" s="28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C221" s="21"/>
    </row>
    <row r="222" s="1" customFormat="1" ht="14.25" spans="1:29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C222" s="21"/>
    </row>
    <row r="223" s="1" customFormat="1" ht="14.25" spans="1:29">
      <c r="A223" s="26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C223" s="21"/>
    </row>
    <row r="224" s="1" customFormat="1" ht="20" customHeight="1" spans="1:29">
      <c r="A224" s="26"/>
      <c r="B224" s="26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C224" s="21"/>
    </row>
    <row r="225" s="1" customFormat="1" ht="20" customHeight="1" spans="1:29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C225" s="21"/>
    </row>
    <row r="226" s="1" customFormat="1" ht="20" customHeight="1" spans="1:29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C226" s="21"/>
    </row>
    <row r="227" s="1" customFormat="1" ht="20" customHeight="1" spans="1:29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C227" s="21"/>
    </row>
    <row r="228" s="1" customFormat="1" ht="20" customHeight="1" spans="1:29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C228" s="21"/>
    </row>
    <row r="229" s="1" customFormat="1" ht="20" customHeight="1" spans="1:29">
      <c r="A229" s="26"/>
      <c r="B229" s="26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C229" s="21"/>
    </row>
    <row r="230" s="1" customFormat="1" ht="20" customHeight="1" spans="1:29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C230" s="21"/>
    </row>
    <row r="231" s="1" customFormat="1" ht="20" customHeight="1" spans="1:29">
      <c r="A231" s="26"/>
      <c r="B231" s="28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C231" s="21"/>
    </row>
    <row r="232" s="1" customFormat="1" ht="14.25" spans="1:29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C232" s="21"/>
    </row>
    <row r="233" s="1" customFormat="1" ht="14.25" spans="1:29">
      <c r="A233" s="26"/>
      <c r="B233" s="26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C233" s="21"/>
    </row>
    <row r="234" s="1" customFormat="1" ht="20" customHeight="1" spans="1:29">
      <c r="A234" s="26"/>
      <c r="B234" s="26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C234" s="21"/>
    </row>
    <row r="235" s="1" customFormat="1" ht="20" customHeight="1" spans="1:29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C235" s="21"/>
    </row>
    <row r="236" s="1" customFormat="1" ht="20" customHeight="1" spans="1:29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C236" s="21"/>
    </row>
    <row r="237" s="1" customFormat="1" ht="20" customHeight="1" spans="1:29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C237" s="21"/>
    </row>
    <row r="238" s="1" customFormat="1" ht="20" customHeight="1" spans="1:29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C238" s="21"/>
    </row>
    <row r="239" s="1" customFormat="1" ht="20" customHeight="1" spans="1:29">
      <c r="A239" s="26"/>
      <c r="B239" s="26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C239" s="21"/>
    </row>
    <row r="240" s="1" customFormat="1" ht="20" customHeight="1" spans="1:29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C240" s="21"/>
    </row>
    <row r="241" s="1" customFormat="1" ht="20" customHeight="1" spans="1:29">
      <c r="A241" s="26"/>
      <c r="B241" s="28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C241" s="21"/>
    </row>
    <row r="242" s="1" customFormat="1" ht="14.25" spans="1:29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C242" s="21"/>
    </row>
    <row r="243" s="1" customFormat="1" ht="14.25" spans="1:29">
      <c r="A243" s="26"/>
      <c r="B243" s="26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C243" s="21"/>
    </row>
    <row r="244" s="1" customFormat="1" ht="20" customHeight="1" spans="1:29">
      <c r="A244" s="26"/>
      <c r="B244" s="26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C244" s="21"/>
    </row>
    <row r="245" s="1" customFormat="1" ht="20" customHeight="1" spans="1:29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C245" s="21"/>
    </row>
    <row r="246" s="1" customFormat="1" ht="20" customHeight="1" spans="1:29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C246" s="21"/>
    </row>
    <row r="247" s="1" customFormat="1" ht="20" customHeight="1" spans="1:29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C247" s="21"/>
    </row>
    <row r="248" s="1" customFormat="1" ht="20" customHeight="1" spans="1:29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C248" s="21"/>
    </row>
    <row r="249" s="1" customFormat="1" ht="20" customHeight="1" spans="1:29">
      <c r="A249" s="26"/>
      <c r="B249" s="26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C249" s="21"/>
    </row>
    <row r="250" s="1" customFormat="1" ht="20" customHeight="1" spans="1:29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C250" s="21"/>
    </row>
    <row r="251" s="1" customFormat="1" ht="20" customHeight="1" spans="1:29">
      <c r="A251" s="26"/>
      <c r="B251" s="28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C251" s="21"/>
    </row>
    <row r="252" s="1" customFormat="1" ht="14.25" spans="1:29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C252" s="21"/>
    </row>
    <row r="253" s="1" customFormat="1" ht="14.25" spans="1:29">
      <c r="A253" s="26"/>
      <c r="B253" s="26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C253" s="21"/>
    </row>
    <row r="254" s="1" customFormat="1" ht="20" customHeight="1" spans="1:29">
      <c r="A254" s="26"/>
      <c r="B254" s="26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C254" s="21"/>
    </row>
    <row r="255" s="1" customFormat="1" ht="20" customHeight="1" spans="1:29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C255" s="21"/>
    </row>
    <row r="256" s="1" customFormat="1" ht="20" customHeight="1" spans="1:29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C256" s="21"/>
    </row>
    <row r="257" s="1" customFormat="1" ht="20" customHeight="1" spans="1:29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C257" s="21"/>
    </row>
    <row r="258" s="1" customFormat="1" ht="20" customHeight="1" spans="1:29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C258" s="21"/>
    </row>
    <row r="259" s="1" customFormat="1" ht="20" customHeight="1" spans="1:29">
      <c r="A259" s="26"/>
      <c r="B259" s="26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C259" s="21"/>
    </row>
    <row r="260" s="1" customFormat="1" ht="20" customHeight="1" spans="1:29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C260" s="21"/>
    </row>
    <row r="261" s="1" customFormat="1" ht="20" customHeight="1" spans="1:29">
      <c r="A261" s="26"/>
      <c r="B261" s="28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C261" s="21"/>
    </row>
    <row r="262" s="1" customFormat="1" ht="14.25" spans="1:29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C262" s="21"/>
    </row>
    <row r="263" s="1" customFormat="1" ht="14.25" spans="1:29">
      <c r="A263" s="26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C263" s="21"/>
    </row>
    <row r="264" s="1" customFormat="1" ht="20" customHeight="1" spans="1:29">
      <c r="A264" s="26"/>
      <c r="B264" s="26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C264" s="21"/>
    </row>
    <row r="265" s="1" customFormat="1" ht="20" customHeight="1" spans="1:29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C265" s="21"/>
    </row>
    <row r="266" s="1" customFormat="1" ht="20" customHeight="1" spans="1:29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C266" s="21"/>
    </row>
    <row r="267" s="1" customFormat="1" ht="20" customHeight="1" spans="1:29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C267" s="21"/>
    </row>
    <row r="268" s="1" customFormat="1" ht="20" customHeight="1" spans="1:29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C268" s="21"/>
    </row>
    <row r="269" s="1" customFormat="1" ht="20" customHeight="1" spans="1:29">
      <c r="A269" s="26"/>
      <c r="B269" s="26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C269" s="21"/>
    </row>
    <row r="270" s="1" customFormat="1" ht="20" customHeight="1" spans="1:29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C270" s="21"/>
    </row>
    <row r="271" s="1" customFormat="1" ht="20" customHeight="1" spans="1:29">
      <c r="A271" s="26"/>
      <c r="B271" s="28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C271" s="21"/>
    </row>
    <row r="272" s="1" customFormat="1" ht="14.25" spans="1:29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C272" s="21"/>
    </row>
    <row r="273" s="1" customFormat="1" ht="14.25" spans="1:29">
      <c r="A273" s="26"/>
      <c r="B273" s="26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C273" s="21"/>
    </row>
    <row r="274" s="1" customFormat="1" ht="20" customHeight="1" spans="1:29">
      <c r="A274" s="26"/>
      <c r="B274" s="26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C274" s="21"/>
    </row>
    <row r="275" s="1" customFormat="1" ht="20" customHeight="1" spans="1:29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C275" s="21"/>
    </row>
    <row r="276" s="1" customFormat="1" ht="20" customHeight="1" spans="1:29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C276" s="21"/>
    </row>
    <row r="277" s="1" customFormat="1" ht="20" customHeight="1" spans="1:29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C277" s="21"/>
    </row>
    <row r="278" s="1" customFormat="1" ht="20" customHeight="1" spans="1:29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C278" s="21"/>
    </row>
    <row r="279" s="1" customFormat="1" ht="20" customHeight="1" spans="1:29">
      <c r="A279" s="26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C279" s="21"/>
    </row>
    <row r="280" s="1" customFormat="1" ht="20" customHeight="1" spans="1:29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C280" s="21"/>
    </row>
    <row r="281" s="1" customFormat="1" ht="20" customHeight="1" spans="1:29">
      <c r="A281" s="26"/>
      <c r="B281" s="28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C281" s="21"/>
    </row>
    <row r="282" s="1" customFormat="1" ht="14.25" spans="1:29">
      <c r="A282" s="26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C282" s="21"/>
    </row>
    <row r="283" s="1" customFormat="1" ht="14.25" spans="1:29">
      <c r="A283" s="26"/>
      <c r="B283" s="26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C283" s="21"/>
    </row>
    <row r="284" s="1" customFormat="1" ht="20" customHeight="1" spans="1:29">
      <c r="A284" s="26"/>
      <c r="B284" s="26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C284" s="21"/>
    </row>
    <row r="285" s="1" customFormat="1" ht="20" customHeight="1" spans="1:29">
      <c r="A285" s="26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C285" s="21"/>
    </row>
    <row r="286" s="1" customFormat="1" ht="20" customHeight="1" spans="1:29">
      <c r="A286" s="26"/>
      <c r="B286" s="26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C286" s="21"/>
    </row>
    <row r="287" s="1" customFormat="1" ht="20" customHeight="1" spans="1:29">
      <c r="A287" s="26"/>
      <c r="B287" s="26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C287" s="21"/>
    </row>
    <row r="288" s="1" customFormat="1" ht="20" customHeight="1" spans="1:29">
      <c r="A288" s="26"/>
      <c r="B288" s="26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C288" s="21"/>
    </row>
    <row r="289" s="1" customFormat="1" ht="20" customHeight="1" spans="1:29">
      <c r="A289" s="26"/>
      <c r="B289" s="26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C289" s="21"/>
    </row>
    <row r="290" s="1" customFormat="1" ht="20" customHeight="1" spans="1:29">
      <c r="A290" s="26"/>
      <c r="B290" s="26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C290" s="21"/>
    </row>
    <row r="291" s="1" customFormat="1" ht="20" customHeight="1" spans="1:29">
      <c r="A291" s="26"/>
      <c r="B291" s="28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C291" s="21"/>
    </row>
    <row r="292" s="1" customFormat="1" ht="14.25" spans="1:29">
      <c r="A292" s="26"/>
      <c r="B292" s="26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C292" s="21"/>
    </row>
    <row r="293" s="1" customFormat="1" ht="14.25" spans="1:29">
      <c r="A293" s="26"/>
      <c r="B293" s="26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C293" s="21"/>
    </row>
  </sheetData>
  <autoFilter ref="A3:XFD93">
    <filterColumn colId="2">
      <customFilters>
        <customFilter operator="equal" val="实际"/>
      </customFilters>
    </filterColumn>
  </autoFilter>
  <mergeCells count="61">
    <mergeCell ref="A1:AB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XFC296"/>
  <sheetViews>
    <sheetView zoomScale="80" zoomScaleNormal="80" workbookViewId="0">
      <pane xSplit="3" ySplit="3" topLeftCell="L5" activePane="bottomRight" state="frozen"/>
      <selection/>
      <selection pane="topRight"/>
      <selection pane="bottomLeft"/>
      <selection pane="bottomRight" activeCell="AC3" sqref="AC3"/>
    </sheetView>
  </sheetViews>
  <sheetFormatPr defaultColWidth="9" defaultRowHeight="13.5"/>
  <cols>
    <col min="1" max="1" width="11.375" style="3" customWidth="1"/>
    <col min="2" max="2" width="17.25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10.375" style="4"/>
    <col min="29" max="29" width="12.625" style="6"/>
    <col min="30" max="30" width="9" style="4"/>
    <col min="31" max="33" width="9.375" style="4"/>
    <col min="34" max="16384" width="9" style="4"/>
  </cols>
  <sheetData>
    <row r="1" customFormat="1" ht="70" customHeight="1" spans="1:16383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6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customFormat="1" ht="18.75" spans="1:16383">
      <c r="A2" s="3"/>
      <c r="B2" s="4"/>
      <c r="C2" s="4"/>
      <c r="D2" s="5"/>
      <c r="E2" s="9" t="s">
        <v>40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4"/>
      <c r="AC2" s="6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</row>
    <row r="3" s="1" customFormat="1" ht="20" customHeight="1" spans="1:29">
      <c r="A3" s="10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  <c r="AC3" s="21" t="s">
        <v>3</v>
      </c>
    </row>
    <row r="4" s="1" customFormat="1" ht="20" hidden="1" customHeight="1" spans="1:28">
      <c r="A4" s="15">
        <v>46143</v>
      </c>
      <c r="B4" s="16">
        <v>4303121811816</v>
      </c>
      <c r="C4" s="17" t="s">
        <v>37</v>
      </c>
      <c r="D4" s="18">
        <v>33.71</v>
      </c>
      <c r="E4" s="18">
        <v>32.11</v>
      </c>
      <c r="F4" s="18">
        <v>32.24</v>
      </c>
      <c r="G4" s="18">
        <v>32.32</v>
      </c>
      <c r="H4" s="18">
        <v>32.18</v>
      </c>
      <c r="I4" s="18">
        <v>31.54</v>
      </c>
      <c r="J4" s="18">
        <v>32.22</v>
      </c>
      <c r="K4" s="18">
        <v>29.66</v>
      </c>
      <c r="L4" s="18">
        <v>25.33</v>
      </c>
      <c r="M4" s="18">
        <v>26.54</v>
      </c>
      <c r="N4" s="18">
        <v>26.48</v>
      </c>
      <c r="O4" s="18">
        <v>26.65</v>
      </c>
      <c r="P4" s="18">
        <v>25.32</v>
      </c>
      <c r="Q4" s="18">
        <v>26.85</v>
      </c>
      <c r="R4" s="18">
        <v>26.34</v>
      </c>
      <c r="S4" s="18">
        <v>26.48</v>
      </c>
      <c r="T4" s="18">
        <v>28.66</v>
      </c>
      <c r="U4" s="18">
        <v>29.11</v>
      </c>
      <c r="V4" s="18">
        <v>30.11</v>
      </c>
      <c r="W4" s="18">
        <v>32.87</v>
      </c>
      <c r="X4" s="18">
        <v>33.22</v>
      </c>
      <c r="Y4" s="18">
        <v>33.71</v>
      </c>
      <c r="Z4" s="18">
        <v>35.38</v>
      </c>
      <c r="AA4" s="18">
        <v>33.62</v>
      </c>
      <c r="AB4" s="22">
        <f t="shared" ref="AB4:AB8" si="0">SUM(D4:AA4)</f>
        <v>722.65</v>
      </c>
    </row>
    <row r="5" s="1" customFormat="1" ht="20" customHeight="1" spans="1:29">
      <c r="A5" s="15"/>
      <c r="B5" s="16"/>
      <c r="C5" s="17" t="s">
        <v>38</v>
      </c>
      <c r="D5" s="19">
        <v>26.5601</v>
      </c>
      <c r="E5" s="19">
        <v>24.1683</v>
      </c>
      <c r="F5" s="19">
        <v>24.7104</v>
      </c>
      <c r="G5" s="19">
        <v>24.2722</v>
      </c>
      <c r="H5" s="19">
        <v>24.1102</v>
      </c>
      <c r="I5" s="19">
        <v>23.5136</v>
      </c>
      <c r="J5" s="19">
        <v>22.1848</v>
      </c>
      <c r="K5" s="20">
        <v>18.8143</v>
      </c>
      <c r="L5" s="20">
        <v>14.6325</v>
      </c>
      <c r="M5" s="20">
        <v>12.5837</v>
      </c>
      <c r="N5" s="20">
        <v>20.0657</v>
      </c>
      <c r="O5" s="20">
        <v>19.1829</v>
      </c>
      <c r="P5" s="20">
        <v>19.1189</v>
      </c>
      <c r="Q5" s="20">
        <v>18.2846</v>
      </c>
      <c r="R5" s="20">
        <v>18.4395</v>
      </c>
      <c r="S5" s="20">
        <v>19.353</v>
      </c>
      <c r="T5" s="20">
        <v>20.115</v>
      </c>
      <c r="U5" s="20">
        <v>18.457</v>
      </c>
      <c r="V5" s="20">
        <v>19.6328</v>
      </c>
      <c r="W5" s="20">
        <v>19.1664</v>
      </c>
      <c r="X5" s="20">
        <v>18.3885</v>
      </c>
      <c r="Y5" s="20">
        <v>18.2934</v>
      </c>
      <c r="Z5" s="20">
        <v>17.9238</v>
      </c>
      <c r="AA5" s="20">
        <v>19.1242</v>
      </c>
      <c r="AB5" s="22">
        <f t="shared" si="0"/>
        <v>481.0958</v>
      </c>
      <c r="AC5" s="21">
        <f>MAX(D5:AA5)</f>
        <v>26.5601</v>
      </c>
    </row>
    <row r="6" s="1" customFormat="1" ht="20" hidden="1" customHeight="1" spans="1:29">
      <c r="A6" s="15"/>
      <c r="B6" s="16"/>
      <c r="C6" s="17" t="s">
        <v>39</v>
      </c>
      <c r="D6" s="20">
        <f t="shared" ref="D6:AB6" si="1">D4-D5</f>
        <v>7.1499</v>
      </c>
      <c r="E6" s="20">
        <f t="shared" si="1"/>
        <v>7.9417</v>
      </c>
      <c r="F6" s="20">
        <f t="shared" si="1"/>
        <v>7.5296</v>
      </c>
      <c r="G6" s="20">
        <f t="shared" si="1"/>
        <v>8.0478</v>
      </c>
      <c r="H6" s="20">
        <f t="shared" si="1"/>
        <v>8.0698</v>
      </c>
      <c r="I6" s="20">
        <f t="shared" si="1"/>
        <v>8.0264</v>
      </c>
      <c r="J6" s="20">
        <f t="shared" si="1"/>
        <v>10.0352</v>
      </c>
      <c r="K6" s="20">
        <f t="shared" si="1"/>
        <v>10.8457</v>
      </c>
      <c r="L6" s="20">
        <f t="shared" si="1"/>
        <v>10.6975</v>
      </c>
      <c r="M6" s="20">
        <f t="shared" si="1"/>
        <v>13.9563</v>
      </c>
      <c r="N6" s="20">
        <f t="shared" si="1"/>
        <v>6.4143</v>
      </c>
      <c r="O6" s="20">
        <f t="shared" si="1"/>
        <v>7.4671</v>
      </c>
      <c r="P6" s="20">
        <f t="shared" si="1"/>
        <v>6.2011</v>
      </c>
      <c r="Q6" s="20">
        <f t="shared" si="1"/>
        <v>8.5654</v>
      </c>
      <c r="R6" s="20">
        <f t="shared" si="1"/>
        <v>7.9005</v>
      </c>
      <c r="S6" s="20">
        <f t="shared" si="1"/>
        <v>7.127</v>
      </c>
      <c r="T6" s="20">
        <f t="shared" si="1"/>
        <v>8.545</v>
      </c>
      <c r="U6" s="20">
        <f t="shared" si="1"/>
        <v>10.653</v>
      </c>
      <c r="V6" s="20">
        <f t="shared" si="1"/>
        <v>10.4772</v>
      </c>
      <c r="W6" s="20">
        <f t="shared" si="1"/>
        <v>13.7036</v>
      </c>
      <c r="X6" s="20">
        <f t="shared" si="1"/>
        <v>14.8315</v>
      </c>
      <c r="Y6" s="20">
        <f t="shared" si="1"/>
        <v>15.4166</v>
      </c>
      <c r="Z6" s="20">
        <f t="shared" si="1"/>
        <v>17.4562</v>
      </c>
      <c r="AA6" s="20">
        <f t="shared" si="1"/>
        <v>14.4958</v>
      </c>
      <c r="AB6" s="23">
        <f t="shared" si="1"/>
        <v>241.5542</v>
      </c>
      <c r="AC6" s="24">
        <f>AB6/AB4</f>
        <v>0.334261675776656</v>
      </c>
    </row>
    <row r="7" s="1" customFormat="1" ht="20" hidden="1" customHeight="1" spans="1:28">
      <c r="A7" s="15">
        <v>46144</v>
      </c>
      <c r="B7" s="16">
        <v>4303121811816</v>
      </c>
      <c r="C7" s="17" t="s">
        <v>37</v>
      </c>
      <c r="D7" s="18">
        <v>32.58</v>
      </c>
      <c r="E7" s="18">
        <v>32.13</v>
      </c>
      <c r="F7" s="18">
        <v>32.24</v>
      </c>
      <c r="G7" s="18">
        <v>32.12</v>
      </c>
      <c r="H7" s="18">
        <v>32.11</v>
      </c>
      <c r="I7" s="18">
        <v>31.71</v>
      </c>
      <c r="J7" s="18">
        <v>32.18</v>
      </c>
      <c r="K7" s="18">
        <v>29.77</v>
      </c>
      <c r="L7" s="18">
        <v>29.32</v>
      </c>
      <c r="M7" s="18">
        <v>29.11</v>
      </c>
      <c r="N7" s="18">
        <v>29.52</v>
      </c>
      <c r="O7" s="18">
        <v>29.05</v>
      </c>
      <c r="P7" s="18">
        <v>28.55</v>
      </c>
      <c r="Q7" s="18">
        <v>29.77</v>
      </c>
      <c r="R7" s="18">
        <v>29.44</v>
      </c>
      <c r="S7" s="18">
        <v>29.54</v>
      </c>
      <c r="T7" s="18">
        <v>29.41</v>
      </c>
      <c r="U7" s="18">
        <v>29.31</v>
      </c>
      <c r="V7" s="18">
        <v>30.11</v>
      </c>
      <c r="W7" s="18">
        <v>32.89</v>
      </c>
      <c r="X7" s="18">
        <v>33.22</v>
      </c>
      <c r="Y7" s="18">
        <v>33.71</v>
      </c>
      <c r="Z7" s="18">
        <v>35.23</v>
      </c>
      <c r="AA7" s="18">
        <v>33.71</v>
      </c>
      <c r="AB7" s="22">
        <f t="shared" si="0"/>
        <v>746.73</v>
      </c>
    </row>
    <row r="8" s="1" customFormat="1" ht="20" customHeight="1" spans="1:29">
      <c r="A8" s="15"/>
      <c r="B8" s="16"/>
      <c r="C8" s="17" t="s">
        <v>38</v>
      </c>
      <c r="D8" s="19">
        <v>18.8778</v>
      </c>
      <c r="E8" s="19">
        <v>18.7106</v>
      </c>
      <c r="F8" s="19">
        <v>18.9394</v>
      </c>
      <c r="G8" s="19">
        <v>18.9622</v>
      </c>
      <c r="H8" s="19">
        <v>19.1629</v>
      </c>
      <c r="I8" s="19">
        <v>19.0256</v>
      </c>
      <c r="J8" s="19">
        <v>17.959</v>
      </c>
      <c r="K8" s="19">
        <v>18.8689</v>
      </c>
      <c r="L8" s="19">
        <v>19.3547</v>
      </c>
      <c r="M8" s="19">
        <v>19.5095</v>
      </c>
      <c r="N8" s="19">
        <v>20.3234</v>
      </c>
      <c r="O8" s="19">
        <v>19.3266</v>
      </c>
      <c r="P8" s="19">
        <v>19.4268</v>
      </c>
      <c r="Q8" s="19">
        <v>19.8299</v>
      </c>
      <c r="R8" s="19">
        <v>19.5289</v>
      </c>
      <c r="S8" s="19">
        <v>20.115</v>
      </c>
      <c r="T8" s="19">
        <v>22.6142</v>
      </c>
      <c r="U8" s="19">
        <v>22.3731</v>
      </c>
      <c r="V8" s="19">
        <v>22.9222</v>
      </c>
      <c r="W8" s="19">
        <v>24.4624</v>
      </c>
      <c r="X8" s="19">
        <v>26.0938</v>
      </c>
      <c r="Y8" s="19">
        <v>26.5566</v>
      </c>
      <c r="Z8" s="19">
        <v>26.7908</v>
      </c>
      <c r="AA8" s="19">
        <v>27.5757</v>
      </c>
      <c r="AB8" s="22">
        <f t="shared" si="0"/>
        <v>507.31</v>
      </c>
      <c r="AC8" s="21">
        <f>MAX(D8:AA8)</f>
        <v>27.5757</v>
      </c>
    </row>
    <row r="9" s="1" customFormat="1" ht="20" hidden="1" customHeight="1" spans="1:29">
      <c r="A9" s="15"/>
      <c r="B9" s="16"/>
      <c r="C9" s="17" t="s">
        <v>39</v>
      </c>
      <c r="D9" s="20">
        <f t="shared" ref="D9:AB9" si="2">D7-D8</f>
        <v>13.7022</v>
      </c>
      <c r="E9" s="20">
        <f t="shared" si="2"/>
        <v>13.4194</v>
      </c>
      <c r="F9" s="20">
        <f t="shared" si="2"/>
        <v>13.3006</v>
      </c>
      <c r="G9" s="20">
        <f t="shared" si="2"/>
        <v>13.1578</v>
      </c>
      <c r="H9" s="20">
        <f t="shared" si="2"/>
        <v>12.9471</v>
      </c>
      <c r="I9" s="20">
        <f t="shared" si="2"/>
        <v>12.6844</v>
      </c>
      <c r="J9" s="20">
        <f t="shared" si="2"/>
        <v>14.221</v>
      </c>
      <c r="K9" s="20">
        <f t="shared" si="2"/>
        <v>10.9011</v>
      </c>
      <c r="L9" s="20">
        <f t="shared" si="2"/>
        <v>9.9653</v>
      </c>
      <c r="M9" s="20">
        <f t="shared" si="2"/>
        <v>9.6005</v>
      </c>
      <c r="N9" s="20">
        <f t="shared" si="2"/>
        <v>9.1966</v>
      </c>
      <c r="O9" s="20">
        <f t="shared" si="2"/>
        <v>9.7234</v>
      </c>
      <c r="P9" s="20">
        <f t="shared" si="2"/>
        <v>9.1232</v>
      </c>
      <c r="Q9" s="20">
        <f t="shared" si="2"/>
        <v>9.9401</v>
      </c>
      <c r="R9" s="20">
        <f t="shared" si="2"/>
        <v>9.9111</v>
      </c>
      <c r="S9" s="20">
        <f t="shared" si="2"/>
        <v>9.425</v>
      </c>
      <c r="T9" s="20">
        <f t="shared" si="2"/>
        <v>6.7958</v>
      </c>
      <c r="U9" s="20">
        <f t="shared" si="2"/>
        <v>6.9369</v>
      </c>
      <c r="V9" s="20">
        <f t="shared" si="2"/>
        <v>7.1878</v>
      </c>
      <c r="W9" s="20">
        <f t="shared" si="2"/>
        <v>8.4276</v>
      </c>
      <c r="X9" s="20">
        <f t="shared" si="2"/>
        <v>7.1262</v>
      </c>
      <c r="Y9" s="20">
        <f t="shared" si="2"/>
        <v>7.1534</v>
      </c>
      <c r="Z9" s="20">
        <f t="shared" si="2"/>
        <v>8.4392</v>
      </c>
      <c r="AA9" s="20">
        <f t="shared" si="2"/>
        <v>6.1343</v>
      </c>
      <c r="AB9" s="23">
        <f t="shared" si="2"/>
        <v>239.42</v>
      </c>
      <c r="AC9" s="24">
        <f>AB9/AB7</f>
        <v>0.320624589878537</v>
      </c>
    </row>
    <row r="10" s="1" customFormat="1" ht="20" hidden="1" customHeight="1" spans="1:28">
      <c r="A10" s="15">
        <v>46145</v>
      </c>
      <c r="B10" s="16">
        <v>4303121811816</v>
      </c>
      <c r="C10" s="17" t="s">
        <v>37</v>
      </c>
      <c r="D10" s="18">
        <v>35.89</v>
      </c>
      <c r="E10" s="18">
        <v>48.66</v>
      </c>
      <c r="F10" s="18">
        <v>50.12</v>
      </c>
      <c r="G10" s="18">
        <v>50.21</v>
      </c>
      <c r="H10" s="18">
        <v>53.33</v>
      </c>
      <c r="I10" s="18">
        <v>54.68</v>
      </c>
      <c r="J10" s="18">
        <v>55.84</v>
      </c>
      <c r="K10" s="18">
        <v>66.71</v>
      </c>
      <c r="L10" s="18">
        <v>72.33</v>
      </c>
      <c r="M10" s="18">
        <v>74.18</v>
      </c>
      <c r="N10" s="18">
        <v>72.66</v>
      </c>
      <c r="O10" s="18">
        <v>67.85</v>
      </c>
      <c r="P10" s="18">
        <v>70.18</v>
      </c>
      <c r="Q10" s="18">
        <v>72.87</v>
      </c>
      <c r="R10" s="18">
        <v>75.33</v>
      </c>
      <c r="S10" s="18">
        <v>75.62</v>
      </c>
      <c r="T10" s="18">
        <v>76.18</v>
      </c>
      <c r="U10" s="18">
        <v>74.32</v>
      </c>
      <c r="V10" s="18">
        <v>71.55</v>
      </c>
      <c r="W10" s="18">
        <v>69.89</v>
      </c>
      <c r="X10" s="18">
        <v>75.89</v>
      </c>
      <c r="Y10" s="18">
        <v>75.66</v>
      </c>
      <c r="Z10" s="18">
        <v>75.71</v>
      </c>
      <c r="AA10" s="18">
        <v>73.21</v>
      </c>
      <c r="AB10" s="22">
        <f t="shared" ref="AB10:AB14" si="3">SUM(D10:AA10)</f>
        <v>1588.87</v>
      </c>
    </row>
    <row r="11" s="1" customFormat="1" ht="20" customHeight="1" spans="1:29">
      <c r="A11" s="15"/>
      <c r="B11" s="16"/>
      <c r="C11" s="17" t="s">
        <v>38</v>
      </c>
      <c r="D11" s="19">
        <v>27.8608</v>
      </c>
      <c r="E11" s="19">
        <v>38.7658</v>
      </c>
      <c r="F11" s="19">
        <v>42.7627</v>
      </c>
      <c r="G11" s="19">
        <v>43.2256</v>
      </c>
      <c r="H11" s="19">
        <v>43.7096</v>
      </c>
      <c r="I11" s="19">
        <v>44.1285</v>
      </c>
      <c r="J11" s="19">
        <v>45.4889</v>
      </c>
      <c r="K11" s="20">
        <v>46.0064</v>
      </c>
      <c r="L11" s="20">
        <v>51.4658</v>
      </c>
      <c r="M11" s="20">
        <v>53.233</v>
      </c>
      <c r="N11" s="20">
        <v>53.9193</v>
      </c>
      <c r="O11" s="20">
        <v>51.6841</v>
      </c>
      <c r="P11" s="20">
        <v>51.123</v>
      </c>
      <c r="Q11" s="20">
        <v>56.3288</v>
      </c>
      <c r="R11" s="20">
        <v>57.7825</v>
      </c>
      <c r="S11" s="20">
        <v>60.3434</v>
      </c>
      <c r="T11" s="20">
        <v>61.7038</v>
      </c>
      <c r="U11" s="20">
        <v>62.7246</v>
      </c>
      <c r="V11" s="20">
        <v>62.9817</v>
      </c>
      <c r="W11" s="20">
        <v>62.5751</v>
      </c>
      <c r="X11" s="20">
        <v>69.7326</v>
      </c>
      <c r="Y11" s="20">
        <v>66.711</v>
      </c>
      <c r="Z11" s="20">
        <v>68.7139</v>
      </c>
      <c r="AA11" s="20">
        <v>65.8664</v>
      </c>
      <c r="AB11" s="22">
        <f t="shared" si="3"/>
        <v>1288.8373</v>
      </c>
      <c r="AC11" s="21">
        <f>MAX(D11:AA11)</f>
        <v>69.7326</v>
      </c>
    </row>
    <row r="12" s="1" customFormat="1" ht="20" hidden="1" customHeight="1" spans="1:29">
      <c r="A12" s="15"/>
      <c r="B12" s="16"/>
      <c r="C12" s="17" t="s">
        <v>39</v>
      </c>
      <c r="D12" s="20">
        <f t="shared" ref="D12:AB12" si="4">D10-D11</f>
        <v>8.0292</v>
      </c>
      <c r="E12" s="20">
        <f t="shared" si="4"/>
        <v>9.8942</v>
      </c>
      <c r="F12" s="20">
        <f t="shared" si="4"/>
        <v>7.3573</v>
      </c>
      <c r="G12" s="20">
        <f t="shared" si="4"/>
        <v>6.9844</v>
      </c>
      <c r="H12" s="20">
        <f t="shared" si="4"/>
        <v>9.6204</v>
      </c>
      <c r="I12" s="20">
        <f t="shared" si="4"/>
        <v>10.5515</v>
      </c>
      <c r="J12" s="20">
        <f t="shared" si="4"/>
        <v>10.3511</v>
      </c>
      <c r="K12" s="20">
        <f t="shared" si="4"/>
        <v>20.7036</v>
      </c>
      <c r="L12" s="20">
        <f t="shared" si="4"/>
        <v>20.8642</v>
      </c>
      <c r="M12" s="20">
        <f t="shared" si="4"/>
        <v>20.947</v>
      </c>
      <c r="N12" s="20">
        <f t="shared" si="4"/>
        <v>18.7407</v>
      </c>
      <c r="O12" s="20">
        <f t="shared" si="4"/>
        <v>16.1659</v>
      </c>
      <c r="P12" s="20">
        <f t="shared" si="4"/>
        <v>19.057</v>
      </c>
      <c r="Q12" s="20">
        <f t="shared" si="4"/>
        <v>16.5412</v>
      </c>
      <c r="R12" s="20">
        <f t="shared" si="4"/>
        <v>17.5475</v>
      </c>
      <c r="S12" s="20">
        <f t="shared" si="4"/>
        <v>15.2766</v>
      </c>
      <c r="T12" s="20">
        <f t="shared" si="4"/>
        <v>14.4762</v>
      </c>
      <c r="U12" s="20">
        <f t="shared" si="4"/>
        <v>11.5954</v>
      </c>
      <c r="V12" s="20">
        <f t="shared" si="4"/>
        <v>8.5683</v>
      </c>
      <c r="W12" s="20">
        <f t="shared" si="4"/>
        <v>7.3149</v>
      </c>
      <c r="X12" s="20">
        <f t="shared" si="4"/>
        <v>6.1574</v>
      </c>
      <c r="Y12" s="20">
        <f t="shared" si="4"/>
        <v>8.949</v>
      </c>
      <c r="Z12" s="20">
        <f t="shared" si="4"/>
        <v>6.9961</v>
      </c>
      <c r="AA12" s="20">
        <f t="shared" si="4"/>
        <v>7.3436</v>
      </c>
      <c r="AB12" s="23">
        <f t="shared" si="4"/>
        <v>300.0327</v>
      </c>
      <c r="AC12" s="24">
        <f>AB12/AB10</f>
        <v>0.188834014110657</v>
      </c>
    </row>
    <row r="13" s="1" customFormat="1" ht="20" hidden="1" customHeight="1" spans="1:28">
      <c r="A13" s="15">
        <v>46146</v>
      </c>
      <c r="B13" s="16">
        <v>4303121811816</v>
      </c>
      <c r="C13" s="17" t="s">
        <v>37</v>
      </c>
      <c r="D13" s="18">
        <v>73.33</v>
      </c>
      <c r="E13" s="18">
        <v>74.25</v>
      </c>
      <c r="F13" s="18">
        <v>74.62</v>
      </c>
      <c r="G13" s="18">
        <v>75.66</v>
      </c>
      <c r="H13" s="18">
        <v>75.85</v>
      </c>
      <c r="I13" s="18">
        <v>76.22</v>
      </c>
      <c r="J13" s="18">
        <v>75.18</v>
      </c>
      <c r="K13" s="18">
        <v>86.22</v>
      </c>
      <c r="L13" s="18">
        <v>97.58</v>
      </c>
      <c r="M13" s="18">
        <v>96.33</v>
      </c>
      <c r="N13" s="18">
        <v>95.18</v>
      </c>
      <c r="O13" s="18">
        <v>92.11</v>
      </c>
      <c r="P13" s="18">
        <v>94.84</v>
      </c>
      <c r="Q13" s="18">
        <v>97.66</v>
      </c>
      <c r="R13" s="18">
        <v>98.58</v>
      </c>
      <c r="S13" s="18">
        <v>98.62</v>
      </c>
      <c r="T13" s="18">
        <v>99.88</v>
      </c>
      <c r="U13" s="18">
        <v>99.18</v>
      </c>
      <c r="V13" s="18">
        <v>98.23</v>
      </c>
      <c r="W13" s="18">
        <v>93.55</v>
      </c>
      <c r="X13" s="18">
        <v>98.74</v>
      </c>
      <c r="Y13" s="18">
        <v>97.62</v>
      </c>
      <c r="Z13" s="18">
        <v>97.11</v>
      </c>
      <c r="AA13" s="18">
        <v>91.58</v>
      </c>
      <c r="AB13" s="22">
        <f t="shared" si="3"/>
        <v>2158.12</v>
      </c>
    </row>
    <row r="14" s="1" customFormat="1" ht="20" customHeight="1" spans="1:29">
      <c r="A14" s="15"/>
      <c r="B14" s="16"/>
      <c r="C14" s="17" t="s">
        <v>38</v>
      </c>
      <c r="D14" s="19">
        <v>67.211</v>
      </c>
      <c r="E14" s="19">
        <v>70.8317</v>
      </c>
      <c r="F14" s="19">
        <v>70.3132</v>
      </c>
      <c r="G14" s="19">
        <v>71.183</v>
      </c>
      <c r="H14" s="19">
        <v>71.5295</v>
      </c>
      <c r="I14" s="19">
        <v>71.2202</v>
      </c>
      <c r="J14" s="19">
        <v>66.9034</v>
      </c>
      <c r="K14" s="19">
        <v>65.5829</v>
      </c>
      <c r="L14" s="19">
        <v>76.912</v>
      </c>
      <c r="M14" s="19">
        <v>75.2647</v>
      </c>
      <c r="N14" s="19">
        <v>78.1</v>
      </c>
      <c r="O14" s="19">
        <v>74.976</v>
      </c>
      <c r="P14" s="19">
        <v>71.6848</v>
      </c>
      <c r="Q14" s="19">
        <v>74.9848</v>
      </c>
      <c r="R14" s="19">
        <v>77.8572</v>
      </c>
      <c r="S14" s="19">
        <v>79.0592</v>
      </c>
      <c r="T14" s="19">
        <v>84.0364</v>
      </c>
      <c r="U14" s="19">
        <v>86.3949</v>
      </c>
      <c r="V14" s="19">
        <v>84.9798</v>
      </c>
      <c r="W14" s="19">
        <v>81.4862</v>
      </c>
      <c r="X14" s="19">
        <v>85.0468</v>
      </c>
      <c r="Y14" s="19">
        <v>86.6289</v>
      </c>
      <c r="Z14" s="19">
        <v>86.8155</v>
      </c>
      <c r="AA14" s="19">
        <v>81.8576</v>
      </c>
      <c r="AB14" s="22">
        <f t="shared" si="3"/>
        <v>1840.8597</v>
      </c>
      <c r="AC14" s="21">
        <f>MAX(D14:AA14)</f>
        <v>86.8155</v>
      </c>
    </row>
    <row r="15" s="1" customFormat="1" ht="20" hidden="1" customHeight="1" spans="1:29">
      <c r="A15" s="15"/>
      <c r="B15" s="16"/>
      <c r="C15" s="17" t="s">
        <v>39</v>
      </c>
      <c r="D15" s="20">
        <f t="shared" ref="D15:AB15" si="5">D13-D14</f>
        <v>6.119</v>
      </c>
      <c r="E15" s="20">
        <f t="shared" si="5"/>
        <v>3.4183</v>
      </c>
      <c r="F15" s="20">
        <f t="shared" si="5"/>
        <v>4.30680000000001</v>
      </c>
      <c r="G15" s="20">
        <f t="shared" si="5"/>
        <v>4.47699999999999</v>
      </c>
      <c r="H15" s="20">
        <f t="shared" si="5"/>
        <v>4.3205</v>
      </c>
      <c r="I15" s="20">
        <f t="shared" si="5"/>
        <v>4.99979999999999</v>
      </c>
      <c r="J15" s="20">
        <f t="shared" si="5"/>
        <v>8.2766</v>
      </c>
      <c r="K15" s="20">
        <f t="shared" si="5"/>
        <v>20.6371</v>
      </c>
      <c r="L15" s="20">
        <f t="shared" si="5"/>
        <v>20.668</v>
      </c>
      <c r="M15" s="20">
        <f t="shared" si="5"/>
        <v>21.0653</v>
      </c>
      <c r="N15" s="20">
        <f t="shared" si="5"/>
        <v>17.08</v>
      </c>
      <c r="O15" s="20">
        <f t="shared" si="5"/>
        <v>17.134</v>
      </c>
      <c r="P15" s="20">
        <f t="shared" si="5"/>
        <v>23.1552</v>
      </c>
      <c r="Q15" s="20">
        <f t="shared" si="5"/>
        <v>22.6752</v>
      </c>
      <c r="R15" s="20">
        <f t="shared" si="5"/>
        <v>20.7228</v>
      </c>
      <c r="S15" s="20">
        <f t="shared" si="5"/>
        <v>19.5608</v>
      </c>
      <c r="T15" s="20">
        <f t="shared" si="5"/>
        <v>15.8436</v>
      </c>
      <c r="U15" s="20">
        <f t="shared" si="5"/>
        <v>12.7851</v>
      </c>
      <c r="V15" s="20">
        <f t="shared" si="5"/>
        <v>13.2502</v>
      </c>
      <c r="W15" s="20">
        <f t="shared" si="5"/>
        <v>12.0638</v>
      </c>
      <c r="X15" s="20">
        <f t="shared" si="5"/>
        <v>13.6932</v>
      </c>
      <c r="Y15" s="20">
        <f t="shared" si="5"/>
        <v>10.9911</v>
      </c>
      <c r="Z15" s="20">
        <f t="shared" si="5"/>
        <v>10.2945</v>
      </c>
      <c r="AA15" s="20">
        <f t="shared" si="5"/>
        <v>9.72239999999999</v>
      </c>
      <c r="AB15" s="23">
        <f t="shared" si="5"/>
        <v>317.260300000001</v>
      </c>
      <c r="AC15" s="24">
        <f>AB15/AB13</f>
        <v>0.147007719681946</v>
      </c>
    </row>
    <row r="16" s="1" customFormat="1" ht="20" hidden="1" customHeight="1" spans="1:29">
      <c r="A16" s="15">
        <v>46147</v>
      </c>
      <c r="B16" s="16">
        <v>4303121811816</v>
      </c>
      <c r="C16" s="17" t="s">
        <v>37</v>
      </c>
      <c r="D16" s="18">
        <v>92.42</v>
      </c>
      <c r="E16" s="18">
        <v>93.62</v>
      </c>
      <c r="F16" s="18">
        <v>93.71</v>
      </c>
      <c r="G16" s="18">
        <v>94.18</v>
      </c>
      <c r="H16" s="18">
        <v>93.98</v>
      </c>
      <c r="I16" s="18">
        <v>94.18</v>
      </c>
      <c r="J16" s="18">
        <v>94.33</v>
      </c>
      <c r="K16" s="18">
        <v>97.62</v>
      </c>
      <c r="L16" s="18">
        <v>104.55</v>
      </c>
      <c r="M16" s="18">
        <v>104.62</v>
      </c>
      <c r="N16" s="18">
        <v>105.11</v>
      </c>
      <c r="O16" s="18">
        <v>99.71</v>
      </c>
      <c r="P16" s="18">
        <v>99.21</v>
      </c>
      <c r="Q16" s="18">
        <v>104.28</v>
      </c>
      <c r="R16" s="18">
        <v>105.62</v>
      </c>
      <c r="S16" s="18">
        <v>107.44</v>
      </c>
      <c r="T16" s="18">
        <v>106.28</v>
      </c>
      <c r="U16" s="18">
        <v>106.21</v>
      </c>
      <c r="V16" s="18">
        <v>103.22</v>
      </c>
      <c r="W16" s="18">
        <v>97.58</v>
      </c>
      <c r="X16" s="18">
        <v>101.68</v>
      </c>
      <c r="Y16" s="18">
        <v>102.18</v>
      </c>
      <c r="Z16" s="18">
        <v>100.11</v>
      </c>
      <c r="AA16" s="18">
        <v>96.76</v>
      </c>
      <c r="AB16" s="22">
        <f t="shared" ref="AB16:AB20" si="6">SUM(D16:AA16)</f>
        <v>2398.6</v>
      </c>
      <c r="AC16" s="24"/>
    </row>
    <row r="17" s="1" customFormat="1" ht="20" customHeight="1" spans="1:29">
      <c r="A17" s="15"/>
      <c r="B17" s="16"/>
      <c r="C17" s="17" t="s">
        <v>38</v>
      </c>
      <c r="D17" s="19">
        <v>82.9136</v>
      </c>
      <c r="E17" s="19">
        <v>86.3157</v>
      </c>
      <c r="F17" s="19">
        <v>84.088</v>
      </c>
      <c r="G17" s="19">
        <v>85.8755</v>
      </c>
      <c r="H17" s="19">
        <v>84.342</v>
      </c>
      <c r="I17" s="19">
        <v>85.2456</v>
      </c>
      <c r="J17" s="19">
        <v>82.5159</v>
      </c>
      <c r="K17" s="20">
        <v>87.4755</v>
      </c>
      <c r="L17" s="20">
        <v>93.2307</v>
      </c>
      <c r="M17" s="20">
        <v>92.5531</v>
      </c>
      <c r="N17" s="20">
        <v>91.7505</v>
      </c>
      <c r="O17" s="20">
        <v>85.6398</v>
      </c>
      <c r="P17" s="20">
        <v>84.9394</v>
      </c>
      <c r="Q17" s="20">
        <v>92.9351</v>
      </c>
      <c r="R17" s="20">
        <v>95.0699</v>
      </c>
      <c r="S17" s="20">
        <v>98.3999</v>
      </c>
      <c r="T17" s="20">
        <v>98.8082</v>
      </c>
      <c r="U17" s="20">
        <v>99.7075</v>
      </c>
      <c r="V17" s="20">
        <v>98.1253</v>
      </c>
      <c r="W17" s="20">
        <v>93.5862</v>
      </c>
      <c r="X17" s="20">
        <v>98.1482</v>
      </c>
      <c r="Y17" s="20">
        <v>97.599</v>
      </c>
      <c r="Z17" s="20">
        <v>96.9355</v>
      </c>
      <c r="AA17" s="20">
        <v>92.9139</v>
      </c>
      <c r="AB17" s="22">
        <f t="shared" si="6"/>
        <v>2189.114</v>
      </c>
      <c r="AC17" s="21">
        <f>MAX(D17:AA17)</f>
        <v>99.7075</v>
      </c>
    </row>
    <row r="18" s="1" customFormat="1" ht="20" hidden="1" customHeight="1" spans="1:29">
      <c r="A18" s="15"/>
      <c r="B18" s="16"/>
      <c r="C18" s="17" t="s">
        <v>39</v>
      </c>
      <c r="D18" s="20">
        <f t="shared" ref="D18:AB18" si="7">D16-D17</f>
        <v>9.5064</v>
      </c>
      <c r="E18" s="20">
        <f t="shared" si="7"/>
        <v>7.3043</v>
      </c>
      <c r="F18" s="20">
        <f t="shared" si="7"/>
        <v>9.622</v>
      </c>
      <c r="G18" s="20">
        <f t="shared" si="7"/>
        <v>8.3045</v>
      </c>
      <c r="H18" s="20">
        <f t="shared" si="7"/>
        <v>9.63800000000001</v>
      </c>
      <c r="I18" s="20">
        <f t="shared" si="7"/>
        <v>8.93440000000001</v>
      </c>
      <c r="J18" s="20">
        <f t="shared" si="7"/>
        <v>11.8141</v>
      </c>
      <c r="K18" s="20">
        <f t="shared" si="7"/>
        <v>10.1445</v>
      </c>
      <c r="L18" s="20">
        <f t="shared" si="7"/>
        <v>11.3193</v>
      </c>
      <c r="M18" s="20">
        <f t="shared" si="7"/>
        <v>12.0669</v>
      </c>
      <c r="N18" s="20">
        <f t="shared" si="7"/>
        <v>13.3595</v>
      </c>
      <c r="O18" s="20">
        <f t="shared" si="7"/>
        <v>14.0702</v>
      </c>
      <c r="P18" s="20">
        <f t="shared" si="7"/>
        <v>14.2706</v>
      </c>
      <c r="Q18" s="20">
        <f t="shared" si="7"/>
        <v>11.3449</v>
      </c>
      <c r="R18" s="20">
        <f t="shared" si="7"/>
        <v>10.5501</v>
      </c>
      <c r="S18" s="20">
        <f t="shared" si="7"/>
        <v>9.0401</v>
      </c>
      <c r="T18" s="20">
        <f t="shared" si="7"/>
        <v>7.4718</v>
      </c>
      <c r="U18" s="20">
        <f t="shared" si="7"/>
        <v>6.5025</v>
      </c>
      <c r="V18" s="20">
        <f t="shared" si="7"/>
        <v>5.0947</v>
      </c>
      <c r="W18" s="20">
        <f t="shared" si="7"/>
        <v>3.99379999999999</v>
      </c>
      <c r="X18" s="20">
        <f t="shared" si="7"/>
        <v>3.5318</v>
      </c>
      <c r="Y18" s="20">
        <f t="shared" si="7"/>
        <v>4.581</v>
      </c>
      <c r="Z18" s="20">
        <f t="shared" si="7"/>
        <v>3.17449999999999</v>
      </c>
      <c r="AA18" s="20">
        <f t="shared" si="7"/>
        <v>3.84610000000001</v>
      </c>
      <c r="AB18" s="23">
        <f t="shared" si="7"/>
        <v>209.486</v>
      </c>
      <c r="AC18" s="24">
        <f>AB18/AB16</f>
        <v>0.0873367797882099</v>
      </c>
    </row>
    <row r="19" s="1" customFormat="1" ht="20" hidden="1" customHeight="1" spans="1:29">
      <c r="A19" s="15">
        <v>46148</v>
      </c>
      <c r="B19" s="16">
        <v>4303121811816</v>
      </c>
      <c r="C19" s="17" t="s">
        <v>37</v>
      </c>
      <c r="D19" s="18">
        <v>99.42</v>
      </c>
      <c r="E19" s="18">
        <v>101.66</v>
      </c>
      <c r="F19" s="18">
        <v>102.18</v>
      </c>
      <c r="G19" s="18">
        <v>101.71</v>
      </c>
      <c r="H19" s="18">
        <v>102.33</v>
      </c>
      <c r="I19" s="18">
        <v>101.8124</v>
      </c>
      <c r="J19" s="18">
        <v>97.3685</v>
      </c>
      <c r="K19" s="18">
        <v>97.9511</v>
      </c>
      <c r="L19" s="18">
        <v>104.71</v>
      </c>
      <c r="M19" s="18">
        <v>104.66</v>
      </c>
      <c r="N19" s="18">
        <v>105.21</v>
      </c>
      <c r="O19" s="18">
        <v>99.87</v>
      </c>
      <c r="P19" s="18">
        <v>99.33</v>
      </c>
      <c r="Q19" s="18">
        <v>104.31</v>
      </c>
      <c r="R19" s="18">
        <v>105.71</v>
      </c>
      <c r="S19" s="18">
        <v>106.99</v>
      </c>
      <c r="T19" s="18">
        <v>106.31</v>
      </c>
      <c r="U19" s="18">
        <v>106.54</v>
      </c>
      <c r="V19" s="18">
        <v>104.18</v>
      </c>
      <c r="W19" s="18">
        <v>97.88</v>
      </c>
      <c r="X19" s="18">
        <v>101.66</v>
      </c>
      <c r="Y19" s="18">
        <v>102.17</v>
      </c>
      <c r="Z19" s="18">
        <v>100.21</v>
      </c>
      <c r="AA19" s="18">
        <v>96.77</v>
      </c>
      <c r="AB19" s="22">
        <f t="shared" si="6"/>
        <v>2450.942</v>
      </c>
      <c r="AC19" s="24"/>
    </row>
    <row r="20" s="1" customFormat="1" ht="20" customHeight="1" spans="1:29">
      <c r="A20" s="15"/>
      <c r="B20" s="16"/>
      <c r="C20" s="17" t="s">
        <v>38</v>
      </c>
      <c r="D20" s="19">
        <v>92.356</v>
      </c>
      <c r="E20" s="19">
        <v>94.9484</v>
      </c>
      <c r="F20" s="19">
        <v>94.7167</v>
      </c>
      <c r="G20" s="19">
        <v>96.2156</v>
      </c>
      <c r="H20" s="19">
        <v>94.8402</v>
      </c>
      <c r="I20" s="19">
        <v>95.8654</v>
      </c>
      <c r="J20" s="19">
        <v>90.7896</v>
      </c>
      <c r="K20" s="19">
        <v>87.6201</v>
      </c>
      <c r="L20" s="19">
        <v>97.4251</v>
      </c>
      <c r="M20" s="19">
        <v>97.3773</v>
      </c>
      <c r="N20" s="19">
        <v>94.7865</v>
      </c>
      <c r="O20" s="19">
        <v>92.1906</v>
      </c>
      <c r="P20" s="19">
        <v>90.1296</v>
      </c>
      <c r="Q20" s="19">
        <v>102.9935</v>
      </c>
      <c r="R20" s="19">
        <v>99.9961</v>
      </c>
      <c r="S20" s="19">
        <v>101.9286</v>
      </c>
      <c r="T20" s="19">
        <v>106.818</v>
      </c>
      <c r="U20" s="19">
        <v>107.2863</v>
      </c>
      <c r="V20" s="19">
        <v>106.172</v>
      </c>
      <c r="W20" s="19">
        <v>100.1335</v>
      </c>
      <c r="X20" s="19">
        <v>102.198</v>
      </c>
      <c r="Y20" s="19">
        <v>102.0466</v>
      </c>
      <c r="Z20" s="19">
        <v>102.0202</v>
      </c>
      <c r="AA20" s="19">
        <v>97.7504</v>
      </c>
      <c r="AB20" s="22">
        <f t="shared" si="6"/>
        <v>2348.6043</v>
      </c>
      <c r="AC20" s="21">
        <f>MAX(D20:AA20)</f>
        <v>107.2863</v>
      </c>
    </row>
    <row r="21" s="1" customFormat="1" ht="20" hidden="1" customHeight="1" spans="1:29">
      <c r="A21" s="15"/>
      <c r="B21" s="16"/>
      <c r="C21" s="17" t="s">
        <v>39</v>
      </c>
      <c r="D21" s="20">
        <f t="shared" ref="D21:AB21" si="8">D19-D20</f>
        <v>7.06400000000001</v>
      </c>
      <c r="E21" s="20">
        <f t="shared" si="8"/>
        <v>6.71159999999999</v>
      </c>
      <c r="F21" s="20">
        <f t="shared" si="8"/>
        <v>7.4633</v>
      </c>
      <c r="G21" s="20">
        <f t="shared" si="8"/>
        <v>5.4944</v>
      </c>
      <c r="H21" s="20">
        <f t="shared" si="8"/>
        <v>7.4898</v>
      </c>
      <c r="I21" s="20">
        <f t="shared" si="8"/>
        <v>5.947</v>
      </c>
      <c r="J21" s="20">
        <f t="shared" si="8"/>
        <v>6.5789</v>
      </c>
      <c r="K21" s="20">
        <f t="shared" si="8"/>
        <v>10.331</v>
      </c>
      <c r="L21" s="20">
        <f t="shared" si="8"/>
        <v>7.28489999999999</v>
      </c>
      <c r="M21" s="20">
        <f t="shared" si="8"/>
        <v>7.28269999999999</v>
      </c>
      <c r="N21" s="20">
        <f t="shared" si="8"/>
        <v>10.4235</v>
      </c>
      <c r="O21" s="20">
        <f t="shared" si="8"/>
        <v>7.6794</v>
      </c>
      <c r="P21" s="20">
        <f t="shared" si="8"/>
        <v>9.2004</v>
      </c>
      <c r="Q21" s="20">
        <f t="shared" si="8"/>
        <v>1.3165</v>
      </c>
      <c r="R21" s="20">
        <f t="shared" si="8"/>
        <v>5.7139</v>
      </c>
      <c r="S21" s="20">
        <f t="shared" si="8"/>
        <v>5.06139999999999</v>
      </c>
      <c r="T21" s="20">
        <f t="shared" si="8"/>
        <v>-0.507999999999996</v>
      </c>
      <c r="U21" s="20">
        <f t="shared" si="8"/>
        <v>-0.746299999999991</v>
      </c>
      <c r="V21" s="20">
        <f t="shared" si="8"/>
        <v>-1.99199999999999</v>
      </c>
      <c r="W21" s="20">
        <f t="shared" si="8"/>
        <v>-2.2535</v>
      </c>
      <c r="X21" s="20">
        <f t="shared" si="8"/>
        <v>-0.537999999999997</v>
      </c>
      <c r="Y21" s="20">
        <f t="shared" si="8"/>
        <v>0.123400000000004</v>
      </c>
      <c r="Z21" s="20">
        <f t="shared" si="8"/>
        <v>-1.81020000000001</v>
      </c>
      <c r="AA21" s="20">
        <f t="shared" si="8"/>
        <v>-0.980400000000003</v>
      </c>
      <c r="AB21" s="23">
        <f t="shared" si="8"/>
        <v>102.3377</v>
      </c>
      <c r="AC21" s="24">
        <f>AB21/AB19</f>
        <v>0.0417544356414801</v>
      </c>
    </row>
    <row r="22" s="1" customFormat="1" ht="20" hidden="1" customHeight="1" spans="1:29">
      <c r="A22" s="15">
        <v>46149</v>
      </c>
      <c r="B22" s="16">
        <v>4303121811816</v>
      </c>
      <c r="C22" s="17" t="s">
        <v>37</v>
      </c>
      <c r="D22" s="18">
        <v>99.62</v>
      </c>
      <c r="E22" s="18">
        <v>101.71</v>
      </c>
      <c r="F22" s="18">
        <v>102.22</v>
      </c>
      <c r="G22" s="18">
        <v>101.66</v>
      </c>
      <c r="H22" s="18">
        <v>102.41</v>
      </c>
      <c r="I22" s="18">
        <v>101.62</v>
      </c>
      <c r="J22" s="18">
        <v>97.54</v>
      </c>
      <c r="K22" s="18">
        <v>97.89</v>
      </c>
      <c r="L22" s="18">
        <v>104.66</v>
      </c>
      <c r="M22" s="18">
        <v>104.71</v>
      </c>
      <c r="N22" s="18">
        <v>105.62</v>
      </c>
      <c r="O22" s="18">
        <v>99.88</v>
      </c>
      <c r="P22" s="18">
        <v>99.41</v>
      </c>
      <c r="Q22" s="18">
        <v>104.54</v>
      </c>
      <c r="R22" s="18">
        <v>105.66</v>
      </c>
      <c r="S22" s="18">
        <v>106.89</v>
      </c>
      <c r="T22" s="18">
        <v>106.28</v>
      </c>
      <c r="U22" s="18">
        <v>106.48</v>
      </c>
      <c r="V22" s="18">
        <v>104.22</v>
      </c>
      <c r="W22" s="18">
        <v>97.79</v>
      </c>
      <c r="X22" s="18">
        <v>101.71</v>
      </c>
      <c r="Y22" s="18">
        <v>102.12</v>
      </c>
      <c r="Z22" s="18">
        <v>100.33</v>
      </c>
      <c r="AA22" s="18">
        <v>96.84</v>
      </c>
      <c r="AB22" s="22">
        <f t="shared" ref="AB22:AB26" si="9">SUM(D22:AA22)</f>
        <v>2451.81</v>
      </c>
      <c r="AC22" s="24"/>
    </row>
    <row r="23" s="1" customFormat="1" ht="20" customHeight="1" spans="1:29">
      <c r="A23" s="15"/>
      <c r="B23" s="16"/>
      <c r="C23" s="17" t="s">
        <v>38</v>
      </c>
      <c r="D23" s="19">
        <v>97.0869</v>
      </c>
      <c r="E23" s="19">
        <v>101.1454</v>
      </c>
      <c r="F23" s="19">
        <v>101.0079</v>
      </c>
      <c r="G23" s="19">
        <v>101.5432</v>
      </c>
      <c r="H23" s="19">
        <v>101.0853</v>
      </c>
      <c r="I23" s="19">
        <v>97.8578</v>
      </c>
      <c r="J23" s="19">
        <v>97.9686</v>
      </c>
      <c r="K23" s="20">
        <v>100.5252</v>
      </c>
      <c r="L23" s="20">
        <v>109.8627</v>
      </c>
      <c r="M23" s="20">
        <v>108.7081</v>
      </c>
      <c r="N23" s="20">
        <v>108.3442</v>
      </c>
      <c r="O23" s="20">
        <v>105.204</v>
      </c>
      <c r="P23" s="20">
        <v>100.2619</v>
      </c>
      <c r="Q23" s="20">
        <v>106.8549</v>
      </c>
      <c r="R23" s="20">
        <v>109.5565</v>
      </c>
      <c r="S23" s="20">
        <v>113.5358</v>
      </c>
      <c r="T23" s="20">
        <v>110.8398</v>
      </c>
      <c r="U23" s="20">
        <v>111.049</v>
      </c>
      <c r="V23" s="20">
        <v>106.2512</v>
      </c>
      <c r="W23" s="20">
        <v>100.1352</v>
      </c>
      <c r="X23" s="20">
        <v>102.7699</v>
      </c>
      <c r="Y23" s="20">
        <v>101.8767</v>
      </c>
      <c r="Z23" s="20">
        <v>101.7995</v>
      </c>
      <c r="AA23" s="20">
        <v>96.6487</v>
      </c>
      <c r="AB23" s="22">
        <f t="shared" si="9"/>
        <v>2491.9184</v>
      </c>
      <c r="AC23" s="21">
        <f>MAX(D23:AA23)</f>
        <v>113.5358</v>
      </c>
    </row>
    <row r="24" s="1" customFormat="1" ht="20" hidden="1" customHeight="1" spans="1:29">
      <c r="A24" s="15"/>
      <c r="B24" s="16"/>
      <c r="C24" s="17" t="s">
        <v>39</v>
      </c>
      <c r="D24" s="20">
        <f t="shared" ref="D24:AB24" si="10">D22-D23</f>
        <v>2.5331</v>
      </c>
      <c r="E24" s="20">
        <f t="shared" si="10"/>
        <v>0.564599999999999</v>
      </c>
      <c r="F24" s="20">
        <f t="shared" si="10"/>
        <v>1.21209999999999</v>
      </c>
      <c r="G24" s="20">
        <f t="shared" si="10"/>
        <v>0.116799999999998</v>
      </c>
      <c r="H24" s="20">
        <f t="shared" si="10"/>
        <v>1.32469999999999</v>
      </c>
      <c r="I24" s="20">
        <f t="shared" si="10"/>
        <v>3.76220000000001</v>
      </c>
      <c r="J24" s="20">
        <f t="shared" si="10"/>
        <v>-0.428599999999989</v>
      </c>
      <c r="K24" s="20">
        <f t="shared" si="10"/>
        <v>-2.6352</v>
      </c>
      <c r="L24" s="20">
        <f t="shared" si="10"/>
        <v>-5.20270000000001</v>
      </c>
      <c r="M24" s="20">
        <f t="shared" si="10"/>
        <v>-3.99810000000001</v>
      </c>
      <c r="N24" s="20">
        <f t="shared" si="10"/>
        <v>-2.7242</v>
      </c>
      <c r="O24" s="20">
        <f t="shared" si="10"/>
        <v>-5.324</v>
      </c>
      <c r="P24" s="20">
        <f t="shared" si="10"/>
        <v>-0.851900000000001</v>
      </c>
      <c r="Q24" s="20">
        <f t="shared" si="10"/>
        <v>-2.31489999999999</v>
      </c>
      <c r="R24" s="20">
        <f t="shared" si="10"/>
        <v>-3.8965</v>
      </c>
      <c r="S24" s="20">
        <f t="shared" si="10"/>
        <v>-6.64579999999999</v>
      </c>
      <c r="T24" s="20">
        <f t="shared" si="10"/>
        <v>-4.5598</v>
      </c>
      <c r="U24" s="20">
        <f t="shared" si="10"/>
        <v>-4.569</v>
      </c>
      <c r="V24" s="20">
        <f t="shared" si="10"/>
        <v>-2.0312</v>
      </c>
      <c r="W24" s="20">
        <f t="shared" si="10"/>
        <v>-2.34519999999999</v>
      </c>
      <c r="X24" s="20">
        <f t="shared" si="10"/>
        <v>-1.05990000000001</v>
      </c>
      <c r="Y24" s="20">
        <f t="shared" si="10"/>
        <v>0.243300000000005</v>
      </c>
      <c r="Z24" s="20">
        <f t="shared" si="10"/>
        <v>-1.4695</v>
      </c>
      <c r="AA24" s="20">
        <f t="shared" si="10"/>
        <v>0.191299999999998</v>
      </c>
      <c r="AB24" s="23">
        <f t="shared" si="10"/>
        <v>-40.1083999999996</v>
      </c>
      <c r="AC24" s="24">
        <f>AB24/AB22</f>
        <v>-0.0163586901105712</v>
      </c>
    </row>
    <row r="25" s="1" customFormat="1" ht="20" hidden="1" customHeight="1" spans="1:29">
      <c r="A25" s="15">
        <v>46150</v>
      </c>
      <c r="B25" s="16">
        <v>4303121811816</v>
      </c>
      <c r="C25" s="17" t="s">
        <v>37</v>
      </c>
      <c r="D25" s="18">
        <v>99.54</v>
      </c>
      <c r="E25" s="18">
        <v>101.65</v>
      </c>
      <c r="F25" s="18">
        <v>102.18</v>
      </c>
      <c r="G25" s="18">
        <v>101.48</v>
      </c>
      <c r="H25" s="18">
        <v>102.31</v>
      </c>
      <c r="I25" s="18">
        <v>101.55</v>
      </c>
      <c r="J25" s="18">
        <v>97.48</v>
      </c>
      <c r="K25" s="18">
        <v>97.62</v>
      </c>
      <c r="L25" s="18">
        <v>104.54</v>
      </c>
      <c r="M25" s="18">
        <v>104.68</v>
      </c>
      <c r="N25" s="18">
        <v>105.22</v>
      </c>
      <c r="O25" s="18">
        <v>99.84</v>
      </c>
      <c r="P25" s="18">
        <v>99.32</v>
      </c>
      <c r="Q25" s="18">
        <v>104.48</v>
      </c>
      <c r="R25" s="18">
        <v>105.71</v>
      </c>
      <c r="S25" s="18">
        <v>106.48</v>
      </c>
      <c r="T25" s="18">
        <v>106.12</v>
      </c>
      <c r="U25" s="18">
        <v>106.33</v>
      </c>
      <c r="V25" s="18">
        <v>104.28</v>
      </c>
      <c r="W25" s="18">
        <v>97.66</v>
      </c>
      <c r="X25" s="18">
        <v>101.48</v>
      </c>
      <c r="Y25" s="18">
        <v>102.21</v>
      </c>
      <c r="Z25" s="18">
        <v>100.21</v>
      </c>
      <c r="AA25" s="18">
        <v>96.88</v>
      </c>
      <c r="AB25" s="22">
        <f t="shared" si="9"/>
        <v>2449.25</v>
      </c>
      <c r="AC25" s="24"/>
    </row>
    <row r="26" s="1" customFormat="1" ht="20" customHeight="1" spans="1:29">
      <c r="A26" s="15"/>
      <c r="B26" s="16"/>
      <c r="C26" s="17" t="s">
        <v>38</v>
      </c>
      <c r="D26" s="19">
        <v>96.8123</v>
      </c>
      <c r="E26" s="19">
        <v>101.1454</v>
      </c>
      <c r="F26" s="19">
        <v>100.9357</v>
      </c>
      <c r="G26" s="19">
        <v>102.3933</v>
      </c>
      <c r="H26" s="19">
        <v>101.2999</v>
      </c>
      <c r="I26" s="19">
        <v>101.3197</v>
      </c>
      <c r="J26" s="19">
        <v>98.9947</v>
      </c>
      <c r="K26" s="19">
        <v>99.0968</v>
      </c>
      <c r="L26" s="19">
        <v>106.9484</v>
      </c>
      <c r="M26" s="19">
        <v>106.1491</v>
      </c>
      <c r="N26" s="19">
        <v>101.9269</v>
      </c>
      <c r="O26" s="19">
        <v>99.3872</v>
      </c>
      <c r="P26" s="19">
        <v>100.2831</v>
      </c>
      <c r="Q26" s="19">
        <v>105.9327</v>
      </c>
      <c r="R26" s="19">
        <v>106.1986</v>
      </c>
      <c r="S26" s="19">
        <v>107.4868</v>
      </c>
      <c r="T26" s="19">
        <v>106.4448</v>
      </c>
      <c r="U26" s="19">
        <v>105.6053</v>
      </c>
      <c r="V26" s="19">
        <v>101.2071</v>
      </c>
      <c r="W26" s="19">
        <v>96.9443</v>
      </c>
      <c r="X26" s="19">
        <v>101.5103</v>
      </c>
      <c r="Y26" s="19">
        <v>101.6945</v>
      </c>
      <c r="Z26" s="19">
        <v>100.2567</v>
      </c>
      <c r="AA26" s="19">
        <v>97.6061</v>
      </c>
      <c r="AB26" s="22">
        <f t="shared" si="9"/>
        <v>2447.5797</v>
      </c>
      <c r="AC26" s="21">
        <f>MAX(D26:AA26)</f>
        <v>107.4868</v>
      </c>
    </row>
    <row r="27" s="1" customFormat="1" ht="20" hidden="1" customHeight="1" spans="1:29">
      <c r="A27" s="15"/>
      <c r="B27" s="16"/>
      <c r="C27" s="17" t="s">
        <v>39</v>
      </c>
      <c r="D27" s="20">
        <f t="shared" ref="D27:AB27" si="11">D25-D26</f>
        <v>2.72770000000001</v>
      </c>
      <c r="E27" s="20">
        <f t="shared" si="11"/>
        <v>0.504600000000011</v>
      </c>
      <c r="F27" s="20">
        <f t="shared" si="11"/>
        <v>1.24430000000001</v>
      </c>
      <c r="G27" s="20">
        <f t="shared" si="11"/>
        <v>-0.913299999999992</v>
      </c>
      <c r="H27" s="20">
        <f t="shared" si="11"/>
        <v>1.01010000000001</v>
      </c>
      <c r="I27" s="20">
        <f t="shared" si="11"/>
        <v>0.2303</v>
      </c>
      <c r="J27" s="20">
        <f t="shared" si="11"/>
        <v>-1.51469999999999</v>
      </c>
      <c r="K27" s="20">
        <f t="shared" si="11"/>
        <v>-1.4768</v>
      </c>
      <c r="L27" s="20">
        <f t="shared" si="11"/>
        <v>-2.4084</v>
      </c>
      <c r="M27" s="20">
        <f t="shared" si="11"/>
        <v>-1.4691</v>
      </c>
      <c r="N27" s="20">
        <f t="shared" si="11"/>
        <v>3.2931</v>
      </c>
      <c r="O27" s="20">
        <f t="shared" si="11"/>
        <v>0.452799999999996</v>
      </c>
      <c r="P27" s="20">
        <f t="shared" si="11"/>
        <v>-0.963100000000011</v>
      </c>
      <c r="Q27" s="20">
        <f t="shared" si="11"/>
        <v>-1.45269999999999</v>
      </c>
      <c r="R27" s="20">
        <f t="shared" si="11"/>
        <v>-0.488600000000005</v>
      </c>
      <c r="S27" s="20">
        <f t="shared" si="11"/>
        <v>-1.0068</v>
      </c>
      <c r="T27" s="20">
        <f t="shared" si="11"/>
        <v>-0.324799999999996</v>
      </c>
      <c r="U27" s="20">
        <f t="shared" si="11"/>
        <v>0.724699999999999</v>
      </c>
      <c r="V27" s="20">
        <f t="shared" si="11"/>
        <v>3.0729</v>
      </c>
      <c r="W27" s="20">
        <f t="shared" si="11"/>
        <v>0.715699999999998</v>
      </c>
      <c r="X27" s="20">
        <f t="shared" si="11"/>
        <v>-0.0302999999999969</v>
      </c>
      <c r="Y27" s="20">
        <f t="shared" si="11"/>
        <v>0.515499999999989</v>
      </c>
      <c r="Z27" s="20">
        <f t="shared" si="11"/>
        <v>-0.0467000000000013</v>
      </c>
      <c r="AA27" s="20">
        <f t="shared" si="11"/>
        <v>-0.726100000000002</v>
      </c>
      <c r="AB27" s="23">
        <f t="shared" si="11"/>
        <v>1.67030000000022</v>
      </c>
      <c r="AC27" s="24">
        <f>AB27/AB25</f>
        <v>0.000681963866489833</v>
      </c>
    </row>
    <row r="28" s="1" customFormat="1" ht="20" hidden="1" customHeight="1" spans="1:29">
      <c r="A28" s="15">
        <v>46151</v>
      </c>
      <c r="B28" s="16">
        <v>4303121811816</v>
      </c>
      <c r="C28" s="17" t="s">
        <v>37</v>
      </c>
      <c r="D28" s="18">
        <v>96.74</v>
      </c>
      <c r="E28" s="18">
        <v>98.11</v>
      </c>
      <c r="F28" s="18">
        <v>98.31</v>
      </c>
      <c r="G28" s="18">
        <v>99.33</v>
      </c>
      <c r="H28" s="18">
        <v>98.32</v>
      </c>
      <c r="I28" s="18">
        <v>97.5515</v>
      </c>
      <c r="J28" s="18">
        <v>95.2263</v>
      </c>
      <c r="K28" s="18">
        <v>91.3739</v>
      </c>
      <c r="L28" s="18">
        <v>98.8803</v>
      </c>
      <c r="M28" s="18">
        <v>95.8127</v>
      </c>
      <c r="N28" s="18">
        <v>93.7464</v>
      </c>
      <c r="O28" s="18">
        <v>89.0247</v>
      </c>
      <c r="P28" s="18">
        <v>87.384</v>
      </c>
      <c r="Q28" s="18">
        <v>96.7806</v>
      </c>
      <c r="R28" s="18">
        <v>97.0939</v>
      </c>
      <c r="S28" s="18">
        <v>97.7222</v>
      </c>
      <c r="T28" s="18">
        <v>101.8238</v>
      </c>
      <c r="U28" s="18">
        <v>96.7454</v>
      </c>
      <c r="V28" s="18">
        <v>100.3112</v>
      </c>
      <c r="W28" s="18">
        <v>96.4937</v>
      </c>
      <c r="X28" s="18">
        <v>101.4341</v>
      </c>
      <c r="Y28" s="18">
        <v>100.8304</v>
      </c>
      <c r="Z28" s="18">
        <v>99.3326</v>
      </c>
      <c r="AA28" s="18">
        <v>95.4096</v>
      </c>
      <c r="AB28" s="22">
        <f t="shared" ref="AB28:AB32" si="12">SUM(D28:AA28)</f>
        <v>2323.7873</v>
      </c>
      <c r="AC28" s="24"/>
    </row>
    <row r="29" s="1" customFormat="1" ht="20" customHeight="1" spans="1:29">
      <c r="A29" s="15"/>
      <c r="B29" s="16"/>
      <c r="C29" s="17" t="s">
        <v>38</v>
      </c>
      <c r="D29" s="19">
        <v>97.2928</v>
      </c>
      <c r="E29" s="19">
        <v>99.0546</v>
      </c>
      <c r="F29" s="19">
        <v>101.1984</v>
      </c>
      <c r="G29" s="19">
        <v>101.4922</v>
      </c>
      <c r="H29" s="19">
        <v>101.3451</v>
      </c>
      <c r="I29" s="19">
        <v>99.1322</v>
      </c>
      <c r="J29" s="19">
        <v>97.5268</v>
      </c>
      <c r="K29" s="20">
        <v>95.185</v>
      </c>
      <c r="L29" s="20">
        <v>103.6731</v>
      </c>
      <c r="M29" s="20">
        <v>104.0089</v>
      </c>
      <c r="N29" s="20">
        <v>101.5766</v>
      </c>
      <c r="O29" s="20">
        <v>93.5211</v>
      </c>
      <c r="P29" s="20">
        <v>91.5763</v>
      </c>
      <c r="Q29" s="20">
        <v>99.6794</v>
      </c>
      <c r="R29" s="20">
        <v>102.1259</v>
      </c>
      <c r="S29" s="20">
        <v>102.8649</v>
      </c>
      <c r="T29" s="20">
        <v>103.2644</v>
      </c>
      <c r="U29" s="20">
        <v>104.6108</v>
      </c>
      <c r="V29" s="20">
        <v>100.0548</v>
      </c>
      <c r="W29" s="20">
        <v>96.1506</v>
      </c>
      <c r="X29" s="20">
        <v>102.3493</v>
      </c>
      <c r="Y29" s="20">
        <v>101.0997</v>
      </c>
      <c r="Z29" s="20">
        <v>99.6196</v>
      </c>
      <c r="AA29" s="20">
        <v>94.1212</v>
      </c>
      <c r="AB29" s="22">
        <f t="shared" si="12"/>
        <v>2392.5237</v>
      </c>
      <c r="AC29" s="21">
        <f>MAX(D29:AA29)</f>
        <v>104.6108</v>
      </c>
    </row>
    <row r="30" s="1" customFormat="1" ht="20" hidden="1" customHeight="1" spans="1:29">
      <c r="A30" s="15"/>
      <c r="B30" s="16"/>
      <c r="C30" s="17" t="s">
        <v>39</v>
      </c>
      <c r="D30" s="20">
        <f t="shared" ref="D30:AB30" si="13">D28-D29</f>
        <v>-0.552800000000005</v>
      </c>
      <c r="E30" s="20">
        <f t="shared" si="13"/>
        <v>-0.944599999999994</v>
      </c>
      <c r="F30" s="20">
        <f t="shared" si="13"/>
        <v>-2.8884</v>
      </c>
      <c r="G30" s="20">
        <f t="shared" si="13"/>
        <v>-2.1622</v>
      </c>
      <c r="H30" s="20">
        <f t="shared" si="13"/>
        <v>-3.02510000000001</v>
      </c>
      <c r="I30" s="20">
        <f t="shared" si="13"/>
        <v>-1.58069999999999</v>
      </c>
      <c r="J30" s="20">
        <f t="shared" si="13"/>
        <v>-2.3005</v>
      </c>
      <c r="K30" s="20">
        <f t="shared" si="13"/>
        <v>-3.8111</v>
      </c>
      <c r="L30" s="20">
        <f t="shared" si="13"/>
        <v>-4.7928</v>
      </c>
      <c r="M30" s="20">
        <f t="shared" si="13"/>
        <v>-8.19619999999999</v>
      </c>
      <c r="N30" s="20">
        <f t="shared" si="13"/>
        <v>-7.8302</v>
      </c>
      <c r="O30" s="20">
        <f t="shared" si="13"/>
        <v>-4.49640000000001</v>
      </c>
      <c r="P30" s="20">
        <f t="shared" si="13"/>
        <v>-4.1923</v>
      </c>
      <c r="Q30" s="20">
        <f t="shared" si="13"/>
        <v>-2.89879999999999</v>
      </c>
      <c r="R30" s="20">
        <f t="shared" si="13"/>
        <v>-5.032</v>
      </c>
      <c r="S30" s="20">
        <f t="shared" si="13"/>
        <v>-5.1427</v>
      </c>
      <c r="T30" s="20">
        <f t="shared" si="13"/>
        <v>-1.44059999999999</v>
      </c>
      <c r="U30" s="20">
        <f t="shared" si="13"/>
        <v>-7.86539999999999</v>
      </c>
      <c r="V30" s="20">
        <f t="shared" si="13"/>
        <v>0.256399999999999</v>
      </c>
      <c r="W30" s="20">
        <f t="shared" si="13"/>
        <v>0.343100000000007</v>
      </c>
      <c r="X30" s="20">
        <f t="shared" si="13"/>
        <v>-0.915199999999999</v>
      </c>
      <c r="Y30" s="20">
        <f t="shared" si="13"/>
        <v>-0.269300000000001</v>
      </c>
      <c r="Z30" s="20">
        <f t="shared" si="13"/>
        <v>-0.287000000000006</v>
      </c>
      <c r="AA30" s="20">
        <f t="shared" si="13"/>
        <v>1.2884</v>
      </c>
      <c r="AB30" s="23">
        <f t="shared" si="13"/>
        <v>-68.7363999999998</v>
      </c>
      <c r="AC30" s="24">
        <f>AB30/AB28</f>
        <v>-0.0295794714085922</v>
      </c>
    </row>
    <row r="31" s="1" customFormat="1" ht="20" hidden="1" customHeight="1" spans="1:29">
      <c r="A31" s="15">
        <v>46152</v>
      </c>
      <c r="B31" s="16">
        <v>4303121811816</v>
      </c>
      <c r="C31" s="17" t="s">
        <v>37</v>
      </c>
      <c r="D31" s="18">
        <v>96.75</v>
      </c>
      <c r="E31" s="18">
        <v>98.44</v>
      </c>
      <c r="F31" s="18">
        <v>99.18</v>
      </c>
      <c r="G31" s="18">
        <v>99.21</v>
      </c>
      <c r="H31" s="18">
        <v>96.33</v>
      </c>
      <c r="I31" s="18">
        <v>95.48</v>
      </c>
      <c r="J31" s="18">
        <v>89.18</v>
      </c>
      <c r="K31" s="18">
        <v>78.41</v>
      </c>
      <c r="L31" s="18">
        <v>81.54</v>
      </c>
      <c r="M31" s="18">
        <v>79.77</v>
      </c>
      <c r="N31" s="18">
        <v>77.41</v>
      </c>
      <c r="O31" s="18">
        <v>74.21</v>
      </c>
      <c r="P31" s="18">
        <v>78.62</v>
      </c>
      <c r="Q31" s="18">
        <v>80.21</v>
      </c>
      <c r="R31" s="18">
        <v>87.33</v>
      </c>
      <c r="S31" s="18">
        <v>86.41</v>
      </c>
      <c r="T31" s="18">
        <v>85.21</v>
      </c>
      <c r="U31" s="18">
        <v>86.22</v>
      </c>
      <c r="V31" s="18">
        <v>85.18</v>
      </c>
      <c r="W31" s="18">
        <v>82.11</v>
      </c>
      <c r="X31" s="18">
        <v>89.31</v>
      </c>
      <c r="Y31" s="18">
        <v>87.62</v>
      </c>
      <c r="Z31" s="18">
        <v>87.12</v>
      </c>
      <c r="AA31" s="18">
        <v>95.33</v>
      </c>
      <c r="AB31" s="22">
        <f t="shared" si="12"/>
        <v>2096.58</v>
      </c>
      <c r="AC31" s="24"/>
    </row>
    <row r="32" s="1" customFormat="1" ht="20" customHeight="1" spans="1:29">
      <c r="A32" s="15"/>
      <c r="B32" s="16"/>
      <c r="C32" s="17" t="s">
        <v>38</v>
      </c>
      <c r="D32" s="19">
        <v>93.2835</v>
      </c>
      <c r="E32" s="19">
        <v>99.0634</v>
      </c>
      <c r="F32" s="19">
        <v>99.709</v>
      </c>
      <c r="G32" s="19">
        <v>99.7867</v>
      </c>
      <c r="H32" s="19">
        <v>99.132</v>
      </c>
      <c r="I32" s="19">
        <v>95.4483</v>
      </c>
      <c r="J32" s="19">
        <v>87.7342</v>
      </c>
      <c r="K32" s="19">
        <v>83.5967</v>
      </c>
      <c r="L32" s="19">
        <v>84.5363</v>
      </c>
      <c r="M32" s="19">
        <v>84.6155</v>
      </c>
      <c r="N32" s="19">
        <v>78.9342</v>
      </c>
      <c r="O32" s="19">
        <v>75.4477</v>
      </c>
      <c r="P32" s="19">
        <v>78.8304</v>
      </c>
      <c r="Q32" s="19">
        <v>80.9523</v>
      </c>
      <c r="R32" s="19">
        <v>86.6939</v>
      </c>
      <c r="S32" s="19">
        <v>87.504</v>
      </c>
      <c r="T32" s="19">
        <v>88.7938</v>
      </c>
      <c r="U32" s="19">
        <v>88.7958</v>
      </c>
      <c r="V32" s="19">
        <v>89.7454</v>
      </c>
      <c r="W32" s="19">
        <v>84.7096</v>
      </c>
      <c r="X32" s="19">
        <v>91.2683</v>
      </c>
      <c r="Y32" s="19">
        <v>89.7952</v>
      </c>
      <c r="Z32" s="19">
        <v>90.5098</v>
      </c>
      <c r="AA32" s="19">
        <v>86.3298</v>
      </c>
      <c r="AB32" s="22">
        <f t="shared" si="12"/>
        <v>2125.2158</v>
      </c>
      <c r="AC32" s="21">
        <f>MAX(D32:AA32)</f>
        <v>99.7867</v>
      </c>
    </row>
    <row r="33" s="1" customFormat="1" ht="20" hidden="1" customHeight="1" spans="1:29">
      <c r="A33" s="15"/>
      <c r="B33" s="16"/>
      <c r="C33" s="17" t="s">
        <v>39</v>
      </c>
      <c r="D33" s="20">
        <f t="shared" ref="D33:AB33" si="14">D31-D32</f>
        <v>3.4665</v>
      </c>
      <c r="E33" s="20">
        <f t="shared" si="14"/>
        <v>-0.623400000000004</v>
      </c>
      <c r="F33" s="20">
        <f t="shared" si="14"/>
        <v>-0.528999999999996</v>
      </c>
      <c r="G33" s="20">
        <f t="shared" si="14"/>
        <v>-0.576700000000002</v>
      </c>
      <c r="H33" s="20">
        <f t="shared" si="14"/>
        <v>-2.80200000000001</v>
      </c>
      <c r="I33" s="20">
        <f t="shared" si="14"/>
        <v>0.0317000000000007</v>
      </c>
      <c r="J33" s="20">
        <f t="shared" si="14"/>
        <v>1.44580000000001</v>
      </c>
      <c r="K33" s="20">
        <f t="shared" si="14"/>
        <v>-5.1867</v>
      </c>
      <c r="L33" s="20">
        <f t="shared" si="14"/>
        <v>-2.99629999999999</v>
      </c>
      <c r="M33" s="20">
        <f t="shared" si="14"/>
        <v>-4.8455</v>
      </c>
      <c r="N33" s="20">
        <f t="shared" si="14"/>
        <v>-1.52420000000001</v>
      </c>
      <c r="O33" s="20">
        <f t="shared" si="14"/>
        <v>-1.2377</v>
      </c>
      <c r="P33" s="20">
        <f t="shared" si="14"/>
        <v>-0.210399999999993</v>
      </c>
      <c r="Q33" s="20">
        <f t="shared" si="14"/>
        <v>-0.7423</v>
      </c>
      <c r="R33" s="20">
        <f t="shared" si="14"/>
        <v>0.636099999999999</v>
      </c>
      <c r="S33" s="20">
        <f t="shared" si="14"/>
        <v>-1.09400000000001</v>
      </c>
      <c r="T33" s="20">
        <f t="shared" si="14"/>
        <v>-3.58380000000001</v>
      </c>
      <c r="U33" s="20">
        <f t="shared" si="14"/>
        <v>-2.5758</v>
      </c>
      <c r="V33" s="20">
        <f t="shared" si="14"/>
        <v>-4.5654</v>
      </c>
      <c r="W33" s="20">
        <f t="shared" si="14"/>
        <v>-2.5996</v>
      </c>
      <c r="X33" s="20">
        <f t="shared" si="14"/>
        <v>-1.95829999999999</v>
      </c>
      <c r="Y33" s="20">
        <f t="shared" si="14"/>
        <v>-2.17519999999999</v>
      </c>
      <c r="Z33" s="20">
        <f t="shared" si="14"/>
        <v>-3.38979999999999</v>
      </c>
      <c r="AA33" s="20">
        <f t="shared" si="14"/>
        <v>9.00019999999999</v>
      </c>
      <c r="AB33" s="23">
        <f t="shared" si="14"/>
        <v>-28.6358000000005</v>
      </c>
      <c r="AC33" s="24">
        <f>AB33/AB31</f>
        <v>-0.013658338818457</v>
      </c>
    </row>
    <row r="34" s="1" customFormat="1" ht="20" hidden="1" customHeight="1" spans="1:28">
      <c r="A34" s="15">
        <v>46153</v>
      </c>
      <c r="B34" s="16">
        <v>4303121811816</v>
      </c>
      <c r="C34" s="17" t="s">
        <v>37</v>
      </c>
      <c r="D34" s="18">
        <v>85.12</v>
      </c>
      <c r="E34" s="18">
        <v>87.45</v>
      </c>
      <c r="F34" s="18">
        <v>88.78</v>
      </c>
      <c r="G34" s="18">
        <v>87.88</v>
      </c>
      <c r="H34" s="18">
        <v>89.31</v>
      </c>
      <c r="I34" s="18">
        <v>87.66</v>
      </c>
      <c r="J34" s="18">
        <v>89.45</v>
      </c>
      <c r="K34" s="18">
        <v>91.33</v>
      </c>
      <c r="L34" s="18">
        <v>98.87</v>
      </c>
      <c r="M34" s="18">
        <v>101.54</v>
      </c>
      <c r="N34" s="18">
        <v>98.11</v>
      </c>
      <c r="O34" s="18">
        <v>89.66</v>
      </c>
      <c r="P34" s="18">
        <v>94.18</v>
      </c>
      <c r="Q34" s="18">
        <v>104.22</v>
      </c>
      <c r="R34" s="18">
        <v>108.11</v>
      </c>
      <c r="S34" s="18">
        <v>108.66</v>
      </c>
      <c r="T34" s="18">
        <v>108.75</v>
      </c>
      <c r="U34" s="18">
        <v>108.22</v>
      </c>
      <c r="V34" s="18">
        <v>104.12</v>
      </c>
      <c r="W34" s="18">
        <v>100.66</v>
      </c>
      <c r="X34" s="18">
        <v>104.18</v>
      </c>
      <c r="Y34" s="18">
        <v>104.77</v>
      </c>
      <c r="Z34" s="18">
        <v>101.66</v>
      </c>
      <c r="AA34" s="18">
        <v>99.11</v>
      </c>
      <c r="AB34" s="22">
        <f t="shared" ref="AB34:AB38" si="15">SUM(D34:AA34)</f>
        <v>2341.8</v>
      </c>
    </row>
    <row r="35" s="1" customFormat="1" ht="20" customHeight="1" spans="1:29">
      <c r="A35" s="15"/>
      <c r="B35" s="16"/>
      <c r="C35" s="17" t="s">
        <v>38</v>
      </c>
      <c r="D35" s="19">
        <v>87.2608</v>
      </c>
      <c r="E35" s="19">
        <v>90.1836</v>
      </c>
      <c r="F35" s="19">
        <v>91.1223</v>
      </c>
      <c r="G35" s="19">
        <v>91.5975</v>
      </c>
      <c r="H35" s="19">
        <v>91.3686</v>
      </c>
      <c r="I35" s="19">
        <v>91.1997</v>
      </c>
      <c r="J35" s="19">
        <v>89.8779</v>
      </c>
      <c r="K35" s="20">
        <v>90.2854</v>
      </c>
      <c r="L35" s="20">
        <v>101.2336</v>
      </c>
      <c r="M35" s="20">
        <v>103.8506</v>
      </c>
      <c r="N35" s="20">
        <v>101.1084</v>
      </c>
      <c r="O35" s="20">
        <v>94.3008</v>
      </c>
      <c r="P35" s="20">
        <v>91.5428</v>
      </c>
      <c r="Q35" s="20">
        <v>97.5568</v>
      </c>
      <c r="R35" s="20">
        <v>103.1413</v>
      </c>
      <c r="S35" s="20">
        <v>105.014</v>
      </c>
      <c r="T35" s="20">
        <v>107.5958</v>
      </c>
      <c r="U35" s="20">
        <v>109.8275</v>
      </c>
      <c r="V35" s="20">
        <v>106.0171</v>
      </c>
      <c r="W35" s="20">
        <v>99.6617</v>
      </c>
      <c r="X35" s="20">
        <v>105.4557</v>
      </c>
      <c r="Y35" s="20">
        <v>105.4099</v>
      </c>
      <c r="Z35" s="20">
        <v>103.2645</v>
      </c>
      <c r="AA35" s="20">
        <v>100.0455</v>
      </c>
      <c r="AB35" s="22">
        <f t="shared" si="15"/>
        <v>2357.9218</v>
      </c>
      <c r="AC35" s="21">
        <f>MAX(D35:AA35)</f>
        <v>109.8275</v>
      </c>
    </row>
    <row r="36" s="1" customFormat="1" ht="20" hidden="1" customHeight="1" spans="1:28">
      <c r="A36" s="15"/>
      <c r="B36" s="16"/>
      <c r="C36" s="17" t="s">
        <v>39</v>
      </c>
      <c r="D36" s="20">
        <f t="shared" ref="D36:AB36" si="16">D34-D35</f>
        <v>-2.1408</v>
      </c>
      <c r="E36" s="20">
        <f t="shared" si="16"/>
        <v>-2.7336</v>
      </c>
      <c r="F36" s="20">
        <f t="shared" si="16"/>
        <v>-2.34229999999999</v>
      </c>
      <c r="G36" s="20">
        <f t="shared" si="16"/>
        <v>-3.7175</v>
      </c>
      <c r="H36" s="20">
        <f t="shared" si="16"/>
        <v>-2.0586</v>
      </c>
      <c r="I36" s="20">
        <f t="shared" si="16"/>
        <v>-3.53970000000001</v>
      </c>
      <c r="J36" s="20">
        <f t="shared" si="16"/>
        <v>-0.427899999999994</v>
      </c>
      <c r="K36" s="20">
        <f t="shared" si="16"/>
        <v>1.0446</v>
      </c>
      <c r="L36" s="20">
        <f t="shared" si="16"/>
        <v>-2.36359999999999</v>
      </c>
      <c r="M36" s="20">
        <f t="shared" si="16"/>
        <v>-2.31059999999999</v>
      </c>
      <c r="N36" s="20">
        <f t="shared" si="16"/>
        <v>-2.9984</v>
      </c>
      <c r="O36" s="20">
        <f t="shared" si="16"/>
        <v>-4.6408</v>
      </c>
      <c r="P36" s="20">
        <f t="shared" si="16"/>
        <v>2.63720000000001</v>
      </c>
      <c r="Q36" s="20">
        <f t="shared" si="16"/>
        <v>6.6632</v>
      </c>
      <c r="R36" s="20">
        <f t="shared" si="16"/>
        <v>4.9687</v>
      </c>
      <c r="S36" s="20">
        <f t="shared" si="16"/>
        <v>3.646</v>
      </c>
      <c r="T36" s="20">
        <f t="shared" si="16"/>
        <v>1.1542</v>
      </c>
      <c r="U36" s="20">
        <f t="shared" si="16"/>
        <v>-1.6075</v>
      </c>
      <c r="V36" s="20">
        <f t="shared" si="16"/>
        <v>-1.89709999999999</v>
      </c>
      <c r="W36" s="20">
        <f t="shared" si="16"/>
        <v>0.9983</v>
      </c>
      <c r="X36" s="20">
        <f t="shared" si="16"/>
        <v>-1.27569999999999</v>
      </c>
      <c r="Y36" s="20">
        <f t="shared" si="16"/>
        <v>-0.639899999999997</v>
      </c>
      <c r="Z36" s="20">
        <f t="shared" si="16"/>
        <v>-1.6045</v>
      </c>
      <c r="AA36" s="20">
        <f t="shared" si="16"/>
        <v>-0.935500000000005</v>
      </c>
      <c r="AB36" s="23">
        <f t="shared" si="16"/>
        <v>-16.1217999999999</v>
      </c>
    </row>
    <row r="37" s="1" customFormat="1" ht="20" hidden="1" customHeight="1" spans="1:28">
      <c r="A37" s="15">
        <v>46154</v>
      </c>
      <c r="B37" s="16">
        <v>4303121811816</v>
      </c>
      <c r="C37" s="17" t="s">
        <v>37</v>
      </c>
      <c r="D37" s="18">
        <v>97.11</v>
      </c>
      <c r="E37" s="18">
        <v>101.21</v>
      </c>
      <c r="F37" s="18">
        <v>101.11</v>
      </c>
      <c r="G37" s="18">
        <v>101.55</v>
      </c>
      <c r="H37" s="18">
        <v>101.62</v>
      </c>
      <c r="I37" s="18">
        <v>97.89</v>
      </c>
      <c r="J37" s="18">
        <v>98.11</v>
      </c>
      <c r="K37" s="18">
        <v>91.21</v>
      </c>
      <c r="L37" s="18">
        <v>104.21</v>
      </c>
      <c r="M37" s="18">
        <v>104.58</v>
      </c>
      <c r="N37" s="18">
        <v>105.33</v>
      </c>
      <c r="O37" s="18">
        <v>94.11</v>
      </c>
      <c r="P37" s="18">
        <v>92.54</v>
      </c>
      <c r="Q37" s="18">
        <v>101.58</v>
      </c>
      <c r="R37" s="18">
        <v>104.99</v>
      </c>
      <c r="S37" s="18">
        <v>106.89</v>
      </c>
      <c r="T37" s="18">
        <v>106.22</v>
      </c>
      <c r="U37" s="18">
        <v>106.88</v>
      </c>
      <c r="V37" s="18">
        <v>104.11</v>
      </c>
      <c r="W37" s="18">
        <v>100.11</v>
      </c>
      <c r="X37" s="18">
        <v>102.75</v>
      </c>
      <c r="Y37" s="18">
        <v>101.68</v>
      </c>
      <c r="Z37" s="18">
        <v>101.58</v>
      </c>
      <c r="AA37" s="18">
        <v>96.66</v>
      </c>
      <c r="AB37" s="22">
        <f t="shared" si="15"/>
        <v>2424.03</v>
      </c>
    </row>
    <row r="38" s="1" customFormat="1" ht="20" customHeight="1" spans="1:29">
      <c r="A38" s="15"/>
      <c r="B38" s="16"/>
      <c r="C38" s="17" t="s">
        <v>38</v>
      </c>
      <c r="D38" s="19">
        <v>98.9032</v>
      </c>
      <c r="E38" s="19">
        <v>103.1043</v>
      </c>
      <c r="F38" s="19">
        <v>102.726</v>
      </c>
      <c r="G38" s="19">
        <v>103.495</v>
      </c>
      <c r="H38" s="19">
        <v>103.0807</v>
      </c>
      <c r="I38" s="19">
        <v>102.4307</v>
      </c>
      <c r="J38" s="19">
        <v>100.5101</v>
      </c>
      <c r="K38" s="19">
        <v>98.0672</v>
      </c>
      <c r="L38" s="19">
        <v>106.4325</v>
      </c>
      <c r="M38" s="19">
        <v>108.4265</v>
      </c>
      <c r="N38" s="19">
        <v>109.7782</v>
      </c>
      <c r="O38" s="19">
        <v>106.1227</v>
      </c>
      <c r="P38" s="19">
        <v>102.7752</v>
      </c>
      <c r="Q38" s="19">
        <v>107.6099</v>
      </c>
      <c r="R38" s="19">
        <v>112.0134</v>
      </c>
      <c r="S38" s="19">
        <v>111.8673</v>
      </c>
      <c r="T38" s="19">
        <v>114.0868</v>
      </c>
      <c r="U38" s="19">
        <v>111.9782</v>
      </c>
      <c r="V38" s="19">
        <v>108.3685</v>
      </c>
      <c r="W38" s="19">
        <v>102.5059</v>
      </c>
      <c r="X38" s="19">
        <v>107.0573</v>
      </c>
      <c r="Y38" s="19">
        <v>106.1932</v>
      </c>
      <c r="Z38" s="19">
        <v>106.2019</v>
      </c>
      <c r="AA38" s="19">
        <v>103.7115</v>
      </c>
      <c r="AB38" s="22">
        <f t="shared" si="15"/>
        <v>2537.4462</v>
      </c>
      <c r="AC38" s="21">
        <f>MAX(D38:AA38)</f>
        <v>114.0868</v>
      </c>
    </row>
    <row r="39" s="1" customFormat="1" ht="20" hidden="1" customHeight="1" spans="1:28">
      <c r="A39" s="15"/>
      <c r="B39" s="16"/>
      <c r="C39" s="17" t="s">
        <v>39</v>
      </c>
      <c r="D39" s="20">
        <f t="shared" ref="D39:AB39" si="17">D37-D38</f>
        <v>-1.7932</v>
      </c>
      <c r="E39" s="20">
        <f t="shared" si="17"/>
        <v>-1.8943</v>
      </c>
      <c r="F39" s="20">
        <f t="shared" si="17"/>
        <v>-1.616</v>
      </c>
      <c r="G39" s="20">
        <f t="shared" si="17"/>
        <v>-1.94500000000001</v>
      </c>
      <c r="H39" s="20">
        <f t="shared" si="17"/>
        <v>-1.46069999999999</v>
      </c>
      <c r="I39" s="20">
        <f t="shared" si="17"/>
        <v>-4.5407</v>
      </c>
      <c r="J39" s="20">
        <f t="shared" si="17"/>
        <v>-2.40009999999999</v>
      </c>
      <c r="K39" s="20">
        <f t="shared" si="17"/>
        <v>-6.85720000000001</v>
      </c>
      <c r="L39" s="20">
        <f t="shared" si="17"/>
        <v>-2.22250000000001</v>
      </c>
      <c r="M39" s="20">
        <f t="shared" si="17"/>
        <v>-3.84650000000001</v>
      </c>
      <c r="N39" s="20">
        <f t="shared" si="17"/>
        <v>-4.4482</v>
      </c>
      <c r="O39" s="20">
        <f t="shared" si="17"/>
        <v>-12.0127</v>
      </c>
      <c r="P39" s="20">
        <f t="shared" si="17"/>
        <v>-10.2352</v>
      </c>
      <c r="Q39" s="20">
        <f t="shared" si="17"/>
        <v>-6.0299</v>
      </c>
      <c r="R39" s="20">
        <f t="shared" si="17"/>
        <v>-7.02340000000001</v>
      </c>
      <c r="S39" s="20">
        <f t="shared" si="17"/>
        <v>-4.9773</v>
      </c>
      <c r="T39" s="20">
        <f t="shared" si="17"/>
        <v>-7.8668</v>
      </c>
      <c r="U39" s="20">
        <f t="shared" si="17"/>
        <v>-5.09820000000001</v>
      </c>
      <c r="V39" s="20">
        <f t="shared" si="17"/>
        <v>-4.2585</v>
      </c>
      <c r="W39" s="20">
        <f t="shared" si="17"/>
        <v>-2.3959</v>
      </c>
      <c r="X39" s="20">
        <f t="shared" si="17"/>
        <v>-4.3073</v>
      </c>
      <c r="Y39" s="20">
        <f t="shared" si="17"/>
        <v>-4.5132</v>
      </c>
      <c r="Z39" s="20">
        <f t="shared" si="17"/>
        <v>-4.6219</v>
      </c>
      <c r="AA39" s="20">
        <f t="shared" si="17"/>
        <v>-7.0515</v>
      </c>
      <c r="AB39" s="22">
        <f t="shared" si="17"/>
        <v>-113.416200000001</v>
      </c>
    </row>
    <row r="40" s="1" customFormat="1" ht="20" hidden="1" customHeight="1" spans="1:28">
      <c r="A40" s="15">
        <v>46155</v>
      </c>
      <c r="B40" s="16">
        <v>4303121811816</v>
      </c>
      <c r="C40" s="17" t="s">
        <v>37</v>
      </c>
      <c r="D40" s="18">
        <v>97.21</v>
      </c>
      <c r="E40" s="18">
        <v>101.31</v>
      </c>
      <c r="F40" s="18">
        <v>101.08</v>
      </c>
      <c r="G40" s="18">
        <v>101.28</v>
      </c>
      <c r="H40" s="18">
        <v>101.11</v>
      </c>
      <c r="I40" s="18">
        <v>97.88</v>
      </c>
      <c r="J40" s="18">
        <v>97.99</v>
      </c>
      <c r="K40" s="18">
        <v>100.62</v>
      </c>
      <c r="L40" s="18">
        <v>109.77</v>
      </c>
      <c r="M40" s="18">
        <v>108.62</v>
      </c>
      <c r="N40" s="18">
        <v>108.18</v>
      </c>
      <c r="O40" s="18">
        <v>105.18</v>
      </c>
      <c r="P40" s="18">
        <v>100.33</v>
      </c>
      <c r="Q40" s="18">
        <v>106.71</v>
      </c>
      <c r="R40" s="18">
        <v>109.15</v>
      </c>
      <c r="S40" s="18">
        <v>108.18</v>
      </c>
      <c r="T40" s="18">
        <v>107.62</v>
      </c>
      <c r="U40" s="18">
        <v>107.11</v>
      </c>
      <c r="V40" s="18">
        <v>106.33</v>
      </c>
      <c r="W40" s="18">
        <v>100.31</v>
      </c>
      <c r="X40" s="18">
        <v>102.58</v>
      </c>
      <c r="Y40" s="18">
        <v>101.71</v>
      </c>
      <c r="Z40" s="18">
        <v>101.62</v>
      </c>
      <c r="AA40" s="18">
        <v>96.89</v>
      </c>
      <c r="AB40" s="22">
        <f t="shared" ref="AB40:AB44" si="18">SUM(D40:AA40)</f>
        <v>2478.77</v>
      </c>
    </row>
    <row r="41" s="1" customFormat="1" ht="20" customHeight="1" spans="1:29">
      <c r="A41" s="15"/>
      <c r="B41" s="16"/>
      <c r="C41" s="17" t="s">
        <v>38</v>
      </c>
      <c r="D41" s="19">
        <v>103.8985</v>
      </c>
      <c r="E41" s="19">
        <v>104.5299</v>
      </c>
      <c r="F41" s="19">
        <v>104.484</v>
      </c>
      <c r="G41" s="19">
        <v>105.1882</v>
      </c>
      <c r="H41" s="19">
        <v>104.597</v>
      </c>
      <c r="I41" s="19">
        <v>104.0547</v>
      </c>
      <c r="J41" s="19">
        <v>101.6259</v>
      </c>
      <c r="K41" s="20">
        <v>101.2389</v>
      </c>
      <c r="L41" s="20">
        <v>109.4685</v>
      </c>
      <c r="M41" s="20">
        <v>111.6262</v>
      </c>
      <c r="N41" s="20">
        <v>108.7046</v>
      </c>
      <c r="O41" s="20">
        <v>107.2772</v>
      </c>
      <c r="P41" s="20">
        <v>107.7243</v>
      </c>
      <c r="Q41" s="20">
        <v>109.2626</v>
      </c>
      <c r="R41" s="20">
        <v>112.0785</v>
      </c>
      <c r="S41" s="20">
        <v>110.7409</v>
      </c>
      <c r="T41" s="20">
        <v>113.0888</v>
      </c>
      <c r="U41" s="20">
        <v>112.7861</v>
      </c>
      <c r="V41" s="20">
        <v>108.0045</v>
      </c>
      <c r="W41" s="20">
        <v>103.0357</v>
      </c>
      <c r="X41" s="20">
        <v>104.8731</v>
      </c>
      <c r="Y41" s="20">
        <v>105.3836</v>
      </c>
      <c r="Z41" s="20">
        <v>105.8658</v>
      </c>
      <c r="AA41" s="20">
        <v>102.513</v>
      </c>
      <c r="AB41" s="22">
        <f t="shared" si="18"/>
        <v>2562.0505</v>
      </c>
      <c r="AC41" s="21">
        <f>MAX(D41:AA41)</f>
        <v>113.0888</v>
      </c>
    </row>
    <row r="42" s="1" customFormat="1" ht="20" hidden="1" customHeight="1" spans="1:28">
      <c r="A42" s="15"/>
      <c r="B42" s="16"/>
      <c r="C42" s="17" t="s">
        <v>39</v>
      </c>
      <c r="D42" s="20">
        <f t="shared" ref="D42:AB42" si="19">D40-D41</f>
        <v>-6.6885</v>
      </c>
      <c r="E42" s="20">
        <f t="shared" si="19"/>
        <v>-3.2199</v>
      </c>
      <c r="F42" s="20">
        <f t="shared" si="19"/>
        <v>-3.404</v>
      </c>
      <c r="G42" s="20">
        <f t="shared" si="19"/>
        <v>-3.90819999999999</v>
      </c>
      <c r="H42" s="20">
        <f t="shared" si="19"/>
        <v>-3.48699999999999</v>
      </c>
      <c r="I42" s="20">
        <f t="shared" si="19"/>
        <v>-6.1747</v>
      </c>
      <c r="J42" s="20">
        <f t="shared" si="19"/>
        <v>-3.63590000000001</v>
      </c>
      <c r="K42" s="20">
        <f t="shared" si="19"/>
        <v>-0.618899999999996</v>
      </c>
      <c r="L42" s="20">
        <f t="shared" si="19"/>
        <v>0.30149999999999</v>
      </c>
      <c r="M42" s="20">
        <f t="shared" si="19"/>
        <v>-3.00619999999999</v>
      </c>
      <c r="N42" s="20">
        <f t="shared" si="19"/>
        <v>-0.524599999999992</v>
      </c>
      <c r="O42" s="20">
        <f t="shared" si="19"/>
        <v>-2.09719999999999</v>
      </c>
      <c r="P42" s="20">
        <f t="shared" si="19"/>
        <v>-7.3943</v>
      </c>
      <c r="Q42" s="20">
        <f t="shared" si="19"/>
        <v>-2.55260000000001</v>
      </c>
      <c r="R42" s="20">
        <f t="shared" si="19"/>
        <v>-2.9285</v>
      </c>
      <c r="S42" s="20">
        <f t="shared" si="19"/>
        <v>-2.56089999999999</v>
      </c>
      <c r="T42" s="20">
        <f t="shared" si="19"/>
        <v>-5.4688</v>
      </c>
      <c r="U42" s="20">
        <f t="shared" si="19"/>
        <v>-5.67610000000001</v>
      </c>
      <c r="V42" s="20">
        <f t="shared" si="19"/>
        <v>-1.67449999999999</v>
      </c>
      <c r="W42" s="20">
        <f t="shared" si="19"/>
        <v>-2.7257</v>
      </c>
      <c r="X42" s="20">
        <f t="shared" si="19"/>
        <v>-2.2931</v>
      </c>
      <c r="Y42" s="20">
        <f t="shared" si="19"/>
        <v>-3.67360000000001</v>
      </c>
      <c r="Z42" s="20">
        <f t="shared" si="19"/>
        <v>-4.24579999999999</v>
      </c>
      <c r="AA42" s="20">
        <f t="shared" si="19"/>
        <v>-5.623</v>
      </c>
      <c r="AB42" s="22">
        <f t="shared" si="19"/>
        <v>-83.2804999999998</v>
      </c>
    </row>
    <row r="43" s="1" customFormat="1" ht="20" hidden="1" customHeight="1" spans="1:28">
      <c r="A43" s="15">
        <v>46156</v>
      </c>
      <c r="B43" s="16">
        <v>4303121811816</v>
      </c>
      <c r="C43" s="17" t="s">
        <v>37</v>
      </c>
      <c r="D43" s="18">
        <v>97.21</v>
      </c>
      <c r="E43" s="18">
        <v>101.212</v>
      </c>
      <c r="F43" s="18">
        <v>101.18</v>
      </c>
      <c r="G43" s="18">
        <v>101.66</v>
      </c>
      <c r="H43" s="18">
        <v>100.18</v>
      </c>
      <c r="I43" s="18">
        <v>98.11</v>
      </c>
      <c r="J43" s="18">
        <v>97.62</v>
      </c>
      <c r="K43" s="18">
        <v>100.24</v>
      </c>
      <c r="L43" s="18">
        <v>108.78</v>
      </c>
      <c r="M43" s="18">
        <v>108.62</v>
      </c>
      <c r="N43" s="18">
        <v>108.41</v>
      </c>
      <c r="O43" s="18">
        <v>105.21</v>
      </c>
      <c r="P43" s="18">
        <v>100.33</v>
      </c>
      <c r="Q43" s="18">
        <v>106.75</v>
      </c>
      <c r="R43" s="18">
        <v>108.77</v>
      </c>
      <c r="S43" s="18">
        <v>109.62</v>
      </c>
      <c r="T43" s="18">
        <v>108.48</v>
      </c>
      <c r="U43" s="18">
        <v>108.62</v>
      </c>
      <c r="V43" s="18">
        <v>106.31</v>
      </c>
      <c r="W43" s="18">
        <v>100.11</v>
      </c>
      <c r="X43" s="18">
        <v>102.62</v>
      </c>
      <c r="Y43" s="18">
        <v>101.78</v>
      </c>
      <c r="Z43" s="18">
        <v>101.58</v>
      </c>
      <c r="AA43" s="18">
        <v>96.78</v>
      </c>
      <c r="AB43" s="22">
        <f t="shared" si="18"/>
        <v>2480.182</v>
      </c>
    </row>
    <row r="44" s="1" customFormat="1" ht="20" customHeight="1" spans="1:29">
      <c r="A44" s="15"/>
      <c r="B44" s="16"/>
      <c r="C44" s="17" t="s">
        <v>38</v>
      </c>
      <c r="D44" s="19">
        <v>102.3899</v>
      </c>
      <c r="E44" s="19">
        <v>105.6633</v>
      </c>
      <c r="F44" s="19">
        <v>105.7115</v>
      </c>
      <c r="G44" s="19">
        <v>104.778</v>
      </c>
      <c r="H44" s="19">
        <v>104.747</v>
      </c>
      <c r="I44" s="19">
        <v>104.4419</v>
      </c>
      <c r="J44" s="19">
        <v>102.6326</v>
      </c>
      <c r="K44" s="19">
        <v>103.312</v>
      </c>
      <c r="L44" s="19">
        <v>109.7465</v>
      </c>
      <c r="M44" s="19">
        <v>111.5446</v>
      </c>
      <c r="N44" s="19">
        <v>106.1737</v>
      </c>
      <c r="O44" s="19">
        <v>102.8298</v>
      </c>
      <c r="P44" s="19">
        <v>103.6253</v>
      </c>
      <c r="Q44" s="19">
        <v>110.89</v>
      </c>
      <c r="R44" s="19">
        <v>111.9923</v>
      </c>
      <c r="S44" s="19">
        <v>113.6186</v>
      </c>
      <c r="T44" s="19">
        <v>113.7364</v>
      </c>
      <c r="U44" s="19">
        <v>114.136</v>
      </c>
      <c r="V44" s="19">
        <v>110.8026</v>
      </c>
      <c r="W44" s="19">
        <v>105.6299</v>
      </c>
      <c r="X44" s="19">
        <v>108.3526</v>
      </c>
      <c r="Y44" s="19">
        <v>108.7447</v>
      </c>
      <c r="Z44" s="19">
        <v>107.1505</v>
      </c>
      <c r="AA44" s="19">
        <v>104.236</v>
      </c>
      <c r="AB44" s="22">
        <f t="shared" si="18"/>
        <v>2576.8857</v>
      </c>
      <c r="AC44" s="21">
        <f>MAX(D44:AA44)</f>
        <v>114.136</v>
      </c>
    </row>
    <row r="45" s="1" customFormat="1" ht="20" hidden="1" customHeight="1" spans="1:28">
      <c r="A45" s="15"/>
      <c r="B45" s="16"/>
      <c r="C45" s="17" t="s">
        <v>39</v>
      </c>
      <c r="D45" s="20">
        <f t="shared" ref="D45:AB45" si="20">D43-D44</f>
        <v>-5.1799</v>
      </c>
      <c r="E45" s="20">
        <f t="shared" si="20"/>
        <v>-4.4513</v>
      </c>
      <c r="F45" s="20">
        <f t="shared" si="20"/>
        <v>-4.53149999999999</v>
      </c>
      <c r="G45" s="20">
        <f t="shared" si="20"/>
        <v>-3.11800000000001</v>
      </c>
      <c r="H45" s="20">
        <f t="shared" si="20"/>
        <v>-4.56699999999999</v>
      </c>
      <c r="I45" s="20">
        <f t="shared" si="20"/>
        <v>-6.3319</v>
      </c>
      <c r="J45" s="20">
        <f t="shared" si="20"/>
        <v>-5.01259999999999</v>
      </c>
      <c r="K45" s="20">
        <f t="shared" si="20"/>
        <v>-3.072</v>
      </c>
      <c r="L45" s="20">
        <f t="shared" si="20"/>
        <v>-0.966499999999996</v>
      </c>
      <c r="M45" s="20">
        <f t="shared" si="20"/>
        <v>-2.9246</v>
      </c>
      <c r="N45" s="20">
        <f t="shared" si="20"/>
        <v>2.2363</v>
      </c>
      <c r="O45" s="20">
        <f t="shared" si="20"/>
        <v>2.38019999999999</v>
      </c>
      <c r="P45" s="20">
        <f t="shared" si="20"/>
        <v>-3.2953</v>
      </c>
      <c r="Q45" s="20">
        <f t="shared" si="20"/>
        <v>-4.14</v>
      </c>
      <c r="R45" s="20">
        <f t="shared" si="20"/>
        <v>-3.2223</v>
      </c>
      <c r="S45" s="20">
        <f t="shared" si="20"/>
        <v>-3.9986</v>
      </c>
      <c r="T45" s="20">
        <f t="shared" si="20"/>
        <v>-5.2564</v>
      </c>
      <c r="U45" s="20">
        <f t="shared" si="20"/>
        <v>-5.51599999999999</v>
      </c>
      <c r="V45" s="20">
        <f t="shared" si="20"/>
        <v>-4.4926</v>
      </c>
      <c r="W45" s="20">
        <f t="shared" si="20"/>
        <v>-5.51990000000001</v>
      </c>
      <c r="X45" s="20">
        <f t="shared" si="20"/>
        <v>-5.73259999999999</v>
      </c>
      <c r="Y45" s="20">
        <f t="shared" si="20"/>
        <v>-6.96469999999999</v>
      </c>
      <c r="Z45" s="20">
        <f t="shared" si="20"/>
        <v>-5.5705</v>
      </c>
      <c r="AA45" s="20">
        <f t="shared" si="20"/>
        <v>-7.456</v>
      </c>
      <c r="AB45" s="22">
        <f t="shared" si="20"/>
        <v>-96.7037</v>
      </c>
    </row>
    <row r="46" s="1" customFormat="1" ht="20" hidden="1" customHeight="1" spans="1:28">
      <c r="A46" s="15">
        <v>46157</v>
      </c>
      <c r="B46" s="16">
        <v>4303121811816</v>
      </c>
      <c r="C46" s="17" t="s">
        <v>37</v>
      </c>
      <c r="D46" s="18">
        <v>92.33</v>
      </c>
      <c r="E46" s="18">
        <v>99.11</v>
      </c>
      <c r="F46" s="18">
        <v>101.22</v>
      </c>
      <c r="G46" s="18">
        <v>101.54</v>
      </c>
      <c r="H46" s="18">
        <v>101.32</v>
      </c>
      <c r="I46" s="18">
        <v>99.11</v>
      </c>
      <c r="J46" s="18">
        <v>97.62</v>
      </c>
      <c r="K46" s="18">
        <v>95.18</v>
      </c>
      <c r="L46" s="18">
        <v>103.66</v>
      </c>
      <c r="M46" s="18">
        <v>104.12</v>
      </c>
      <c r="N46" s="18">
        <v>101.54</v>
      </c>
      <c r="O46" s="18">
        <v>93.62</v>
      </c>
      <c r="P46" s="18">
        <v>91.66</v>
      </c>
      <c r="Q46" s="18">
        <v>99.71</v>
      </c>
      <c r="R46" s="18">
        <v>102.33</v>
      </c>
      <c r="S46" s="18">
        <v>102.87</v>
      </c>
      <c r="T46" s="18">
        <v>103.66</v>
      </c>
      <c r="U46" s="18">
        <v>104.51</v>
      </c>
      <c r="V46" s="18">
        <v>100.24</v>
      </c>
      <c r="W46" s="18">
        <v>96.21</v>
      </c>
      <c r="X46" s="18">
        <v>102.33</v>
      </c>
      <c r="Y46" s="18">
        <v>101.11</v>
      </c>
      <c r="Z46" s="18">
        <v>99.54</v>
      </c>
      <c r="AA46" s="18">
        <v>94.21</v>
      </c>
      <c r="AB46" s="22">
        <f t="shared" ref="AB46:AB50" si="21">SUM(D46:AA46)</f>
        <v>2388.75</v>
      </c>
    </row>
    <row r="47" s="1" customFormat="1" ht="20" customHeight="1" spans="1:29">
      <c r="A47" s="15"/>
      <c r="B47" s="16"/>
      <c r="C47" s="17" t="s">
        <v>38</v>
      </c>
      <c r="D47" s="19">
        <v>104.7358</v>
      </c>
      <c r="E47" s="19">
        <v>106.7352</v>
      </c>
      <c r="F47" s="19">
        <v>106.7374</v>
      </c>
      <c r="G47" s="19">
        <v>106.8883</v>
      </c>
      <c r="H47" s="19">
        <v>106.2305</v>
      </c>
      <c r="I47" s="19">
        <v>105.3378</v>
      </c>
      <c r="J47" s="19">
        <v>105.2726</v>
      </c>
      <c r="K47" s="20">
        <v>100.2485</v>
      </c>
      <c r="L47" s="20">
        <v>108.6589</v>
      </c>
      <c r="M47" s="20">
        <v>106.9094</v>
      </c>
      <c r="N47" s="20">
        <v>105.6668</v>
      </c>
      <c r="O47" s="20">
        <v>101.1155</v>
      </c>
      <c r="P47" s="20">
        <v>101.5889</v>
      </c>
      <c r="Q47" s="20">
        <v>106.135</v>
      </c>
      <c r="R47" s="20">
        <v>110.9441</v>
      </c>
      <c r="S47" s="20">
        <v>112.2247</v>
      </c>
      <c r="T47" s="20">
        <v>115.6196</v>
      </c>
      <c r="U47" s="20">
        <v>115.3751</v>
      </c>
      <c r="V47" s="20">
        <v>108.9317</v>
      </c>
      <c r="W47" s="20">
        <v>106.3638</v>
      </c>
      <c r="X47" s="20">
        <v>111.98</v>
      </c>
      <c r="Y47" s="20">
        <v>110.1601</v>
      </c>
      <c r="Z47" s="20">
        <v>108.6958</v>
      </c>
      <c r="AA47" s="20">
        <v>103.9684</v>
      </c>
      <c r="AB47" s="22">
        <f t="shared" si="21"/>
        <v>2576.5239</v>
      </c>
      <c r="AC47" s="21">
        <f>MAX(D47:AA47)</f>
        <v>115.6196</v>
      </c>
    </row>
    <row r="48" s="1" customFormat="1" ht="20" hidden="1" customHeight="1" spans="1:28">
      <c r="A48" s="15"/>
      <c r="B48" s="16"/>
      <c r="C48" s="17" t="s">
        <v>39</v>
      </c>
      <c r="D48" s="20">
        <f t="shared" ref="D48:AB48" si="22">D46-D47</f>
        <v>-12.4058</v>
      </c>
      <c r="E48" s="20">
        <f t="shared" si="22"/>
        <v>-7.62520000000001</v>
      </c>
      <c r="F48" s="20">
        <f t="shared" si="22"/>
        <v>-5.51739999999999</v>
      </c>
      <c r="G48" s="20">
        <f t="shared" si="22"/>
        <v>-5.34829999999999</v>
      </c>
      <c r="H48" s="20">
        <f t="shared" si="22"/>
        <v>-4.91050000000001</v>
      </c>
      <c r="I48" s="20">
        <f t="shared" si="22"/>
        <v>-6.2278</v>
      </c>
      <c r="J48" s="20">
        <f t="shared" si="22"/>
        <v>-7.65259999999999</v>
      </c>
      <c r="K48" s="20">
        <f t="shared" si="22"/>
        <v>-5.0685</v>
      </c>
      <c r="L48" s="20">
        <f t="shared" si="22"/>
        <v>-4.99890000000001</v>
      </c>
      <c r="M48" s="20">
        <f t="shared" si="22"/>
        <v>-2.7894</v>
      </c>
      <c r="N48" s="20">
        <f t="shared" si="22"/>
        <v>-4.12679999999999</v>
      </c>
      <c r="O48" s="20">
        <f t="shared" si="22"/>
        <v>-7.49549999999999</v>
      </c>
      <c r="P48" s="20">
        <f t="shared" si="22"/>
        <v>-9.9289</v>
      </c>
      <c r="Q48" s="20">
        <f t="shared" si="22"/>
        <v>-6.42500000000001</v>
      </c>
      <c r="R48" s="20">
        <f t="shared" si="22"/>
        <v>-8.61410000000001</v>
      </c>
      <c r="S48" s="20">
        <f t="shared" si="22"/>
        <v>-9.35469999999999</v>
      </c>
      <c r="T48" s="20">
        <f t="shared" si="22"/>
        <v>-11.9596</v>
      </c>
      <c r="U48" s="20">
        <f t="shared" si="22"/>
        <v>-10.8651</v>
      </c>
      <c r="V48" s="20">
        <f t="shared" si="22"/>
        <v>-8.69170000000001</v>
      </c>
      <c r="W48" s="20">
        <f t="shared" si="22"/>
        <v>-10.1538</v>
      </c>
      <c r="X48" s="20">
        <f t="shared" si="22"/>
        <v>-9.65000000000001</v>
      </c>
      <c r="Y48" s="20">
        <f t="shared" si="22"/>
        <v>-9.0501</v>
      </c>
      <c r="Z48" s="20">
        <f t="shared" si="22"/>
        <v>-9.1558</v>
      </c>
      <c r="AA48" s="20">
        <f t="shared" si="22"/>
        <v>-9.75840000000001</v>
      </c>
      <c r="AB48" s="22">
        <f t="shared" si="22"/>
        <v>-187.7739</v>
      </c>
    </row>
    <row r="49" s="1" customFormat="1" ht="20" hidden="1" customHeight="1" spans="1:28">
      <c r="A49" s="15">
        <v>46158</v>
      </c>
      <c r="B49" s="16">
        <v>4303121811816</v>
      </c>
      <c r="C49" s="17" t="s">
        <v>37</v>
      </c>
      <c r="D49" s="18">
        <v>96.87</v>
      </c>
      <c r="E49" s="18">
        <v>101.11</v>
      </c>
      <c r="F49" s="18">
        <v>100.68</v>
      </c>
      <c r="G49" s="18">
        <v>102.33</v>
      </c>
      <c r="H49" s="18">
        <v>101.21</v>
      </c>
      <c r="I49" s="18">
        <v>101.18</v>
      </c>
      <c r="J49" s="18">
        <v>98.62</v>
      </c>
      <c r="K49" s="18">
        <v>99.18</v>
      </c>
      <c r="L49" s="18">
        <v>105.86</v>
      </c>
      <c r="M49" s="18">
        <v>105.22</v>
      </c>
      <c r="N49" s="18">
        <v>101.65</v>
      </c>
      <c r="O49" s="18">
        <v>99.23</v>
      </c>
      <c r="P49" s="18">
        <v>99.58</v>
      </c>
      <c r="Q49" s="18">
        <v>102.11</v>
      </c>
      <c r="R49" s="18">
        <v>103.54</v>
      </c>
      <c r="S49" s="18">
        <v>103.66</v>
      </c>
      <c r="T49" s="18">
        <v>103.71</v>
      </c>
      <c r="U49" s="18">
        <v>104.66</v>
      </c>
      <c r="V49" s="18">
        <v>100.31</v>
      </c>
      <c r="W49" s="18">
        <v>96.33</v>
      </c>
      <c r="X49" s="18">
        <v>102.21</v>
      </c>
      <c r="Y49" s="18">
        <v>101.11</v>
      </c>
      <c r="Z49" s="18">
        <v>99.62</v>
      </c>
      <c r="AA49" s="18">
        <v>94.33</v>
      </c>
      <c r="AB49" s="22">
        <f t="shared" si="21"/>
        <v>2424.31</v>
      </c>
    </row>
    <row r="50" s="1" customFormat="1" ht="20" customHeight="1" spans="1:29">
      <c r="A50" s="15"/>
      <c r="B50" s="16"/>
      <c r="C50" s="17" t="s">
        <v>38</v>
      </c>
      <c r="D50" s="19">
        <v>102.8421</v>
      </c>
      <c r="E50" s="19">
        <v>107.6821</v>
      </c>
      <c r="F50" s="19">
        <v>107.9886</v>
      </c>
      <c r="G50" s="19">
        <v>108.731</v>
      </c>
      <c r="H50" s="19">
        <v>107.626</v>
      </c>
      <c r="I50" s="19">
        <v>107.7267</v>
      </c>
      <c r="J50" s="19">
        <v>103.81</v>
      </c>
      <c r="K50" s="19">
        <v>100.6254</v>
      </c>
      <c r="L50" s="19">
        <v>104.6443</v>
      </c>
      <c r="M50" s="19">
        <v>109.1816</v>
      </c>
      <c r="N50" s="19">
        <v>101.7738</v>
      </c>
      <c r="O50" s="19">
        <v>102.7593</v>
      </c>
      <c r="P50" s="19">
        <v>100.2443</v>
      </c>
      <c r="Q50" s="19">
        <v>109.3594</v>
      </c>
      <c r="R50" s="19">
        <v>110.3502</v>
      </c>
      <c r="S50" s="19">
        <v>110.477</v>
      </c>
      <c r="T50" s="19">
        <v>109.5336</v>
      </c>
      <c r="U50" s="19">
        <v>109.1588</v>
      </c>
      <c r="V50" s="19">
        <v>106.267</v>
      </c>
      <c r="W50" s="19">
        <v>103.4985</v>
      </c>
      <c r="X50" s="19">
        <v>105.5595</v>
      </c>
      <c r="Y50" s="19">
        <v>104.9611</v>
      </c>
      <c r="Z50" s="19">
        <v>104.9612</v>
      </c>
      <c r="AA50" s="19">
        <v>99.8219</v>
      </c>
      <c r="AB50" s="22">
        <f t="shared" si="21"/>
        <v>2539.5834</v>
      </c>
      <c r="AC50" s="21">
        <f>MAX(D50:AA50)</f>
        <v>110.477</v>
      </c>
    </row>
    <row r="51" s="1" customFormat="1" ht="20" hidden="1" customHeight="1" spans="1:28">
      <c r="A51" s="15"/>
      <c r="B51" s="16"/>
      <c r="C51" s="17" t="s">
        <v>39</v>
      </c>
      <c r="D51" s="20">
        <f t="shared" ref="D51:AB51" si="23">D49-D50</f>
        <v>-5.9721</v>
      </c>
      <c r="E51" s="20">
        <f t="shared" si="23"/>
        <v>-6.57210000000001</v>
      </c>
      <c r="F51" s="20">
        <f t="shared" si="23"/>
        <v>-7.3086</v>
      </c>
      <c r="G51" s="20">
        <f t="shared" si="23"/>
        <v>-6.401</v>
      </c>
      <c r="H51" s="20">
        <f t="shared" si="23"/>
        <v>-6.41600000000001</v>
      </c>
      <c r="I51" s="20">
        <f t="shared" si="23"/>
        <v>-6.54669999999999</v>
      </c>
      <c r="J51" s="20">
        <f t="shared" si="23"/>
        <v>-5.19</v>
      </c>
      <c r="K51" s="20">
        <f t="shared" si="23"/>
        <v>-1.44539999999999</v>
      </c>
      <c r="L51" s="20">
        <f t="shared" si="23"/>
        <v>1.2157</v>
      </c>
      <c r="M51" s="20">
        <f t="shared" si="23"/>
        <v>-3.9616</v>
      </c>
      <c r="N51" s="20">
        <f t="shared" si="23"/>
        <v>-0.123799999999989</v>
      </c>
      <c r="O51" s="20">
        <f t="shared" si="23"/>
        <v>-3.52929999999999</v>
      </c>
      <c r="P51" s="20">
        <f t="shared" si="23"/>
        <v>-0.664299999999997</v>
      </c>
      <c r="Q51" s="20">
        <f t="shared" si="23"/>
        <v>-7.24939999999999</v>
      </c>
      <c r="R51" s="20">
        <f t="shared" si="23"/>
        <v>-6.81019999999999</v>
      </c>
      <c r="S51" s="20">
        <f t="shared" si="23"/>
        <v>-6.81700000000001</v>
      </c>
      <c r="T51" s="20">
        <f t="shared" si="23"/>
        <v>-5.82360000000001</v>
      </c>
      <c r="U51" s="20">
        <f t="shared" si="23"/>
        <v>-4.4988</v>
      </c>
      <c r="V51" s="20">
        <f t="shared" si="23"/>
        <v>-5.95699999999999</v>
      </c>
      <c r="W51" s="20">
        <f t="shared" si="23"/>
        <v>-7.16850000000001</v>
      </c>
      <c r="X51" s="20">
        <f t="shared" si="23"/>
        <v>-3.34950000000001</v>
      </c>
      <c r="Y51" s="20">
        <f t="shared" si="23"/>
        <v>-3.8511</v>
      </c>
      <c r="Z51" s="20">
        <f t="shared" si="23"/>
        <v>-5.3412</v>
      </c>
      <c r="AA51" s="20">
        <f t="shared" si="23"/>
        <v>-5.4919</v>
      </c>
      <c r="AB51" s="22">
        <f t="shared" si="23"/>
        <v>-115.2734</v>
      </c>
    </row>
    <row r="52" s="1" customFormat="1" ht="20" hidden="1" customHeight="1" spans="1:28">
      <c r="A52" s="15">
        <v>46159</v>
      </c>
      <c r="B52" s="16">
        <v>4303121811816</v>
      </c>
      <c r="C52" s="17" t="s">
        <v>37</v>
      </c>
      <c r="D52" s="18">
        <v>94.33</v>
      </c>
      <c r="E52" s="18">
        <v>99.18</v>
      </c>
      <c r="F52" s="18">
        <v>99.62</v>
      </c>
      <c r="G52" s="18">
        <v>99.74</v>
      </c>
      <c r="H52" s="18">
        <v>99.21</v>
      </c>
      <c r="I52" s="18">
        <v>95.62</v>
      </c>
      <c r="J52" s="18">
        <v>87.54</v>
      </c>
      <c r="K52" s="18">
        <v>83.71</v>
      </c>
      <c r="L52" s="18">
        <v>85.11</v>
      </c>
      <c r="M52" s="18">
        <v>84.66</v>
      </c>
      <c r="N52" s="18">
        <v>78.96</v>
      </c>
      <c r="O52" s="18">
        <v>75.66</v>
      </c>
      <c r="P52" s="18">
        <v>78.75</v>
      </c>
      <c r="Q52" s="18">
        <v>80.98</v>
      </c>
      <c r="R52" s="18">
        <v>86.71</v>
      </c>
      <c r="S52" s="18">
        <v>87.66</v>
      </c>
      <c r="T52" s="18">
        <v>88.82</v>
      </c>
      <c r="U52" s="18">
        <v>88.62</v>
      </c>
      <c r="V52" s="18">
        <v>89.71</v>
      </c>
      <c r="W52" s="18">
        <v>84.69</v>
      </c>
      <c r="X52" s="18">
        <v>91.33</v>
      </c>
      <c r="Y52" s="18">
        <v>89.66</v>
      </c>
      <c r="Z52" s="18">
        <v>90.62</v>
      </c>
      <c r="AA52" s="18">
        <v>86.47</v>
      </c>
      <c r="AB52" s="22">
        <f t="shared" ref="AB52:AB56" si="24">SUM(D52:AA52)</f>
        <v>2127.36</v>
      </c>
    </row>
    <row r="53" s="1" customFormat="1" ht="20" customHeight="1" spans="1:29">
      <c r="A53" s="15"/>
      <c r="B53" s="16"/>
      <c r="C53" s="17" t="s">
        <v>38</v>
      </c>
      <c r="D53" s="19">
        <v>100.0774</v>
      </c>
      <c r="E53" s="19">
        <v>102.0677</v>
      </c>
      <c r="F53" s="19">
        <v>103.3596</v>
      </c>
      <c r="G53" s="19">
        <v>104.0283</v>
      </c>
      <c r="H53" s="19">
        <v>103.7506</v>
      </c>
      <c r="I53" s="19">
        <v>101.3372</v>
      </c>
      <c r="J53" s="19">
        <v>94.3008</v>
      </c>
      <c r="K53" s="20">
        <v>92.1519</v>
      </c>
      <c r="L53" s="20">
        <v>91.3036</v>
      </c>
      <c r="M53" s="20">
        <v>89.7833</v>
      </c>
      <c r="N53" s="20">
        <v>84.5891</v>
      </c>
      <c r="O53" s="20">
        <v>84.964</v>
      </c>
      <c r="P53" s="20">
        <v>85.536</v>
      </c>
      <c r="Q53" s="20">
        <v>89.6069</v>
      </c>
      <c r="R53" s="20">
        <v>92.6222</v>
      </c>
      <c r="S53" s="20">
        <v>93.2993</v>
      </c>
      <c r="T53" s="20">
        <v>92.6869</v>
      </c>
      <c r="U53" s="20">
        <v>93.1551</v>
      </c>
      <c r="V53" s="20">
        <v>90.7901</v>
      </c>
      <c r="W53" s="20">
        <v>90.7901</v>
      </c>
      <c r="X53" s="20">
        <v>95.1122</v>
      </c>
      <c r="Y53" s="20">
        <v>94.9872</v>
      </c>
      <c r="Z53" s="20">
        <v>92.9473</v>
      </c>
      <c r="AA53" s="20">
        <v>89.4943</v>
      </c>
      <c r="AB53" s="22">
        <f t="shared" si="24"/>
        <v>2252.7411</v>
      </c>
      <c r="AC53" s="21">
        <f>MAX(D53:AA53)</f>
        <v>104.0283</v>
      </c>
    </row>
    <row r="54" s="1" customFormat="1" ht="20" hidden="1" customHeight="1" spans="1:28">
      <c r="A54" s="15"/>
      <c r="B54" s="16"/>
      <c r="C54" s="17" t="s">
        <v>39</v>
      </c>
      <c r="D54" s="20">
        <f t="shared" ref="D54:AB54" si="25">D52-D53</f>
        <v>-5.7474</v>
      </c>
      <c r="E54" s="20">
        <f t="shared" si="25"/>
        <v>-2.8877</v>
      </c>
      <c r="F54" s="20">
        <f t="shared" si="25"/>
        <v>-3.7396</v>
      </c>
      <c r="G54" s="20">
        <f t="shared" si="25"/>
        <v>-4.28830000000001</v>
      </c>
      <c r="H54" s="20">
        <f t="shared" si="25"/>
        <v>-4.54060000000001</v>
      </c>
      <c r="I54" s="20">
        <f t="shared" si="25"/>
        <v>-5.71719999999999</v>
      </c>
      <c r="J54" s="20">
        <f t="shared" si="25"/>
        <v>-6.76079999999999</v>
      </c>
      <c r="K54" s="20">
        <f t="shared" si="25"/>
        <v>-8.4419</v>
      </c>
      <c r="L54" s="20">
        <f t="shared" si="25"/>
        <v>-6.1936</v>
      </c>
      <c r="M54" s="20">
        <f t="shared" si="25"/>
        <v>-5.1233</v>
      </c>
      <c r="N54" s="20">
        <f t="shared" si="25"/>
        <v>-5.62910000000001</v>
      </c>
      <c r="O54" s="20">
        <f t="shared" si="25"/>
        <v>-9.304</v>
      </c>
      <c r="P54" s="20">
        <f t="shared" si="25"/>
        <v>-6.786</v>
      </c>
      <c r="Q54" s="20">
        <f t="shared" si="25"/>
        <v>-8.62689999999999</v>
      </c>
      <c r="R54" s="20">
        <f t="shared" si="25"/>
        <v>-5.91220000000001</v>
      </c>
      <c r="S54" s="20">
        <f t="shared" si="25"/>
        <v>-5.63930000000001</v>
      </c>
      <c r="T54" s="20">
        <f t="shared" si="25"/>
        <v>-3.8669</v>
      </c>
      <c r="U54" s="20">
        <f t="shared" si="25"/>
        <v>-4.5351</v>
      </c>
      <c r="V54" s="20">
        <f t="shared" si="25"/>
        <v>-1.0801</v>
      </c>
      <c r="W54" s="20">
        <f t="shared" si="25"/>
        <v>-6.1001</v>
      </c>
      <c r="X54" s="20">
        <f t="shared" si="25"/>
        <v>-3.7822</v>
      </c>
      <c r="Y54" s="20">
        <f t="shared" si="25"/>
        <v>-5.3272</v>
      </c>
      <c r="Z54" s="20">
        <f t="shared" si="25"/>
        <v>-2.32729999999999</v>
      </c>
      <c r="AA54" s="20">
        <f t="shared" si="25"/>
        <v>-3.0243</v>
      </c>
      <c r="AB54" s="22">
        <f t="shared" si="25"/>
        <v>-125.381099999999</v>
      </c>
    </row>
    <row r="55" s="1" customFormat="1" ht="20" hidden="1" customHeight="1" spans="1:28">
      <c r="A55" s="15">
        <v>46160</v>
      </c>
      <c r="B55" s="16">
        <v>4303121811816</v>
      </c>
      <c r="C55" s="17" t="s">
        <v>37</v>
      </c>
      <c r="D55" s="18">
        <v>87.33</v>
      </c>
      <c r="E55" s="18">
        <v>90.18</v>
      </c>
      <c r="F55" s="18">
        <v>91.33</v>
      </c>
      <c r="G55" s="18">
        <v>91.58</v>
      </c>
      <c r="H55" s="18">
        <v>91.54</v>
      </c>
      <c r="I55" s="18">
        <v>91.33</v>
      </c>
      <c r="J55" s="18">
        <v>89.68</v>
      </c>
      <c r="K55" s="18">
        <v>90.31</v>
      </c>
      <c r="L55" s="18">
        <v>101.33</v>
      </c>
      <c r="M55" s="18">
        <v>103.68</v>
      </c>
      <c r="N55" s="18">
        <v>101.21</v>
      </c>
      <c r="O55" s="18">
        <v>94.65</v>
      </c>
      <c r="P55" s="18">
        <v>91.87</v>
      </c>
      <c r="Q55" s="18">
        <v>97.87</v>
      </c>
      <c r="R55" s="18">
        <v>103.11</v>
      </c>
      <c r="S55" s="18">
        <v>104.89</v>
      </c>
      <c r="T55" s="18">
        <v>106.54</v>
      </c>
      <c r="U55" s="18">
        <v>106.11</v>
      </c>
      <c r="V55" s="18">
        <v>109.74</v>
      </c>
      <c r="W55" s="18">
        <v>104.89</v>
      </c>
      <c r="X55" s="18">
        <v>105.11</v>
      </c>
      <c r="Y55" s="18">
        <v>103.21</v>
      </c>
      <c r="Z55" s="18">
        <v>100.18</v>
      </c>
      <c r="AA55" s="18">
        <v>99.89</v>
      </c>
      <c r="AB55" s="22">
        <f t="shared" si="24"/>
        <v>2357.56</v>
      </c>
    </row>
    <row r="56" s="1" customFormat="1" ht="20" customHeight="1" spans="1:29">
      <c r="A56" s="15"/>
      <c r="B56" s="16"/>
      <c r="C56" s="17" t="s">
        <v>38</v>
      </c>
      <c r="D56" s="19">
        <v>93.6214</v>
      </c>
      <c r="E56" s="19">
        <v>93.5352</v>
      </c>
      <c r="F56" s="19">
        <v>93.6461</v>
      </c>
      <c r="G56" s="19">
        <v>94.7109</v>
      </c>
      <c r="H56" s="19">
        <v>94.871</v>
      </c>
      <c r="I56" s="19">
        <v>94.3923</v>
      </c>
      <c r="J56" s="19">
        <v>94.4363</v>
      </c>
      <c r="K56" s="19">
        <v>97.0306</v>
      </c>
      <c r="L56" s="19">
        <v>110.102</v>
      </c>
      <c r="M56" s="19">
        <v>113.2912</v>
      </c>
      <c r="N56" s="19">
        <v>109.8979</v>
      </c>
      <c r="O56" s="19">
        <v>98.1006</v>
      </c>
      <c r="P56" s="19">
        <v>102.6291</v>
      </c>
      <c r="Q56" s="19">
        <v>110.1179</v>
      </c>
      <c r="R56" s="19">
        <v>111.6438</v>
      </c>
      <c r="S56" s="19">
        <v>113.8667</v>
      </c>
      <c r="T56" s="19">
        <v>112.17</v>
      </c>
      <c r="U56" s="19">
        <v>112.7738</v>
      </c>
      <c r="V56" s="19">
        <v>111.547</v>
      </c>
      <c r="W56" s="19">
        <v>107.0948</v>
      </c>
      <c r="X56" s="19">
        <v>109.8609</v>
      </c>
      <c r="Y56" s="19">
        <v>109.1007</v>
      </c>
      <c r="Z56" s="19">
        <v>108.1221</v>
      </c>
      <c r="AA56" s="19">
        <v>104.0969</v>
      </c>
      <c r="AB56" s="22">
        <f t="shared" si="24"/>
        <v>2500.6592</v>
      </c>
      <c r="AC56" s="21">
        <f>MAX(D56:AA56)</f>
        <v>113.8667</v>
      </c>
    </row>
    <row r="57" s="1" customFormat="1" ht="20" hidden="1" customHeight="1" spans="1:28">
      <c r="A57" s="15"/>
      <c r="B57" s="16"/>
      <c r="C57" s="17" t="s">
        <v>39</v>
      </c>
      <c r="D57" s="20">
        <f t="shared" ref="D57:AB57" si="26">D55-D56</f>
        <v>-6.2914</v>
      </c>
      <c r="E57" s="20">
        <f t="shared" si="26"/>
        <v>-3.3552</v>
      </c>
      <c r="F57" s="20">
        <f t="shared" si="26"/>
        <v>-2.31610000000001</v>
      </c>
      <c r="G57" s="20">
        <f t="shared" si="26"/>
        <v>-3.1309</v>
      </c>
      <c r="H57" s="20">
        <f t="shared" si="26"/>
        <v>-3.33099999999999</v>
      </c>
      <c r="I57" s="20">
        <f t="shared" si="26"/>
        <v>-3.06230000000001</v>
      </c>
      <c r="J57" s="20">
        <f t="shared" si="26"/>
        <v>-4.7563</v>
      </c>
      <c r="K57" s="20">
        <f t="shared" si="26"/>
        <v>-6.7206</v>
      </c>
      <c r="L57" s="20">
        <f t="shared" si="26"/>
        <v>-8.77200000000001</v>
      </c>
      <c r="M57" s="20">
        <f t="shared" si="26"/>
        <v>-9.6112</v>
      </c>
      <c r="N57" s="20">
        <f t="shared" si="26"/>
        <v>-8.68790000000001</v>
      </c>
      <c r="O57" s="20">
        <f t="shared" si="26"/>
        <v>-3.45059999999999</v>
      </c>
      <c r="P57" s="20">
        <f t="shared" si="26"/>
        <v>-10.7591</v>
      </c>
      <c r="Q57" s="20">
        <f t="shared" si="26"/>
        <v>-12.2479</v>
      </c>
      <c r="R57" s="20">
        <f t="shared" si="26"/>
        <v>-8.5338</v>
      </c>
      <c r="S57" s="20">
        <f t="shared" si="26"/>
        <v>-8.97669999999999</v>
      </c>
      <c r="T57" s="20">
        <f t="shared" si="26"/>
        <v>-5.63</v>
      </c>
      <c r="U57" s="20">
        <f t="shared" si="26"/>
        <v>-6.66379999999999</v>
      </c>
      <c r="V57" s="20">
        <f t="shared" si="26"/>
        <v>-1.807</v>
      </c>
      <c r="W57" s="20">
        <f t="shared" si="26"/>
        <v>-2.20480000000001</v>
      </c>
      <c r="X57" s="20">
        <f t="shared" si="26"/>
        <v>-4.7509</v>
      </c>
      <c r="Y57" s="20">
        <f t="shared" si="26"/>
        <v>-5.89070000000001</v>
      </c>
      <c r="Z57" s="20">
        <f t="shared" si="26"/>
        <v>-7.9421</v>
      </c>
      <c r="AA57" s="20">
        <f t="shared" si="26"/>
        <v>-4.2069</v>
      </c>
      <c r="AB57" s="22">
        <f t="shared" si="26"/>
        <v>-143.099200000001</v>
      </c>
    </row>
    <row r="58" s="1" customFormat="1" ht="20" hidden="1" customHeight="1" spans="1:28">
      <c r="A58" s="15">
        <v>46161</v>
      </c>
      <c r="B58" s="16">
        <v>4303121811816</v>
      </c>
      <c r="C58" s="17" t="s">
        <v>37</v>
      </c>
      <c r="D58" s="18">
        <v>99.89</v>
      </c>
      <c r="E58" s="18">
        <v>103.54</v>
      </c>
      <c r="F58" s="18">
        <v>103.66</v>
      </c>
      <c r="G58" s="18">
        <v>104.11</v>
      </c>
      <c r="H58" s="18">
        <v>104.28</v>
      </c>
      <c r="I58" s="18">
        <v>104.11</v>
      </c>
      <c r="J58" s="18">
        <v>101.54</v>
      </c>
      <c r="K58" s="18">
        <v>98.89</v>
      </c>
      <c r="L58" s="18">
        <v>105.41</v>
      </c>
      <c r="M58" s="18">
        <v>107.66</v>
      </c>
      <c r="N58" s="18">
        <v>108.11</v>
      </c>
      <c r="O58" s="18">
        <v>106.31</v>
      </c>
      <c r="P58" s="18">
        <v>102.68</v>
      </c>
      <c r="Q58" s="18">
        <v>106.71</v>
      </c>
      <c r="R58" s="18">
        <v>109.62</v>
      </c>
      <c r="S58" s="18">
        <v>108.98</v>
      </c>
      <c r="T58" s="18">
        <v>109.69</v>
      </c>
      <c r="U58" s="18">
        <v>107.66</v>
      </c>
      <c r="V58" s="18">
        <v>103.54</v>
      </c>
      <c r="W58" s="18">
        <v>106.18</v>
      </c>
      <c r="X58" s="18">
        <v>106.11</v>
      </c>
      <c r="Y58" s="18">
        <v>106.31</v>
      </c>
      <c r="Z58" s="18">
        <v>103.58</v>
      </c>
      <c r="AA58" s="18">
        <v>100.69</v>
      </c>
      <c r="AB58" s="22">
        <f t="shared" ref="AB58:AB62" si="27">SUM(D58:AA58)</f>
        <v>2519.26</v>
      </c>
    </row>
    <row r="59" s="1" customFormat="1" ht="20" customHeight="1" spans="1:29">
      <c r="A59" s="15"/>
      <c r="B59" s="16"/>
      <c r="C59" s="17" t="s">
        <v>38</v>
      </c>
      <c r="D59" s="19">
        <v>101.2915</v>
      </c>
      <c r="E59" s="19">
        <v>106.8284</v>
      </c>
      <c r="F59" s="19">
        <v>106.2864</v>
      </c>
      <c r="G59" s="19">
        <v>107.3606</v>
      </c>
      <c r="H59" s="19">
        <v>106.964</v>
      </c>
      <c r="I59" s="19">
        <v>105.5015</v>
      </c>
      <c r="J59" s="19">
        <v>103.8471</v>
      </c>
      <c r="K59" s="20">
        <v>103.59</v>
      </c>
      <c r="L59" s="20">
        <v>112.5889</v>
      </c>
      <c r="M59" s="20">
        <v>112.1525</v>
      </c>
      <c r="N59" s="20">
        <v>113.2824</v>
      </c>
      <c r="O59" s="20">
        <v>107.0508</v>
      </c>
      <c r="P59" s="20">
        <v>109.1954</v>
      </c>
      <c r="Q59" s="20">
        <v>112.4108</v>
      </c>
      <c r="R59" s="20">
        <v>112.149</v>
      </c>
      <c r="S59" s="20">
        <v>112.761</v>
      </c>
      <c r="T59" s="20">
        <v>114.753</v>
      </c>
      <c r="U59" s="20">
        <v>111.9308</v>
      </c>
      <c r="V59" s="20">
        <v>109.4411</v>
      </c>
      <c r="W59" s="20">
        <v>102.9914</v>
      </c>
      <c r="X59" s="20">
        <v>107.624</v>
      </c>
      <c r="Y59" s="20">
        <v>107.3987</v>
      </c>
      <c r="Z59" s="20">
        <v>107.6733</v>
      </c>
      <c r="AA59" s="20">
        <v>101.4974</v>
      </c>
      <c r="AB59" s="22">
        <f t="shared" si="27"/>
        <v>2596.57</v>
      </c>
      <c r="AC59" s="21">
        <f>MAX(D59:AA59)</f>
        <v>114.753</v>
      </c>
    </row>
    <row r="60" s="1" customFormat="1" ht="20" hidden="1" customHeight="1" spans="1:28">
      <c r="A60" s="15"/>
      <c r="B60" s="16"/>
      <c r="C60" s="17" t="s">
        <v>39</v>
      </c>
      <c r="D60" s="20">
        <f t="shared" ref="D60:AB60" si="28">D58-D59</f>
        <v>-1.4015</v>
      </c>
      <c r="E60" s="20">
        <f t="shared" si="28"/>
        <v>-3.2884</v>
      </c>
      <c r="F60" s="20">
        <f t="shared" si="28"/>
        <v>-2.6264</v>
      </c>
      <c r="G60" s="20">
        <f t="shared" si="28"/>
        <v>-3.25060000000001</v>
      </c>
      <c r="H60" s="20">
        <f t="shared" si="28"/>
        <v>-2.684</v>
      </c>
      <c r="I60" s="20">
        <f t="shared" si="28"/>
        <v>-1.39149999999999</v>
      </c>
      <c r="J60" s="20">
        <f t="shared" si="28"/>
        <v>-2.30709999999999</v>
      </c>
      <c r="K60" s="20">
        <f t="shared" si="28"/>
        <v>-4.7</v>
      </c>
      <c r="L60" s="20">
        <f t="shared" si="28"/>
        <v>-7.1789</v>
      </c>
      <c r="M60" s="20">
        <f t="shared" si="28"/>
        <v>-4.49250000000001</v>
      </c>
      <c r="N60" s="20">
        <f t="shared" si="28"/>
        <v>-5.1724</v>
      </c>
      <c r="O60" s="20">
        <f t="shared" si="28"/>
        <v>-0.740799999999993</v>
      </c>
      <c r="P60" s="20">
        <f t="shared" si="28"/>
        <v>-6.5154</v>
      </c>
      <c r="Q60" s="20">
        <f t="shared" si="28"/>
        <v>-5.7008</v>
      </c>
      <c r="R60" s="20">
        <f t="shared" si="28"/>
        <v>-2.529</v>
      </c>
      <c r="S60" s="20">
        <f t="shared" si="28"/>
        <v>-3.78099999999999</v>
      </c>
      <c r="T60" s="20">
        <f t="shared" si="28"/>
        <v>-5.063</v>
      </c>
      <c r="U60" s="20">
        <f t="shared" si="28"/>
        <v>-4.27080000000001</v>
      </c>
      <c r="V60" s="20">
        <f t="shared" si="28"/>
        <v>-5.9011</v>
      </c>
      <c r="W60" s="20">
        <f t="shared" si="28"/>
        <v>3.18860000000001</v>
      </c>
      <c r="X60" s="20">
        <f t="shared" si="28"/>
        <v>-1.514</v>
      </c>
      <c r="Y60" s="20">
        <f t="shared" si="28"/>
        <v>-1.0887</v>
      </c>
      <c r="Z60" s="20">
        <f t="shared" si="28"/>
        <v>-4.0933</v>
      </c>
      <c r="AA60" s="20">
        <f t="shared" si="28"/>
        <v>-0.807400000000001</v>
      </c>
      <c r="AB60" s="22">
        <f t="shared" si="28"/>
        <v>-77.3099999999995</v>
      </c>
    </row>
    <row r="61" s="1" customFormat="1" ht="20" hidden="1" customHeight="1" spans="1:28">
      <c r="A61" s="15">
        <v>46162</v>
      </c>
      <c r="B61" s="16">
        <v>4303121811816</v>
      </c>
      <c r="C61" s="17" t="s">
        <v>37</v>
      </c>
      <c r="D61" s="18">
        <v>101.33</v>
      </c>
      <c r="E61" s="18">
        <v>104.65</v>
      </c>
      <c r="F61" s="18">
        <v>105.18</v>
      </c>
      <c r="G61" s="18">
        <v>104.62</v>
      </c>
      <c r="H61" s="18">
        <v>105.33</v>
      </c>
      <c r="I61" s="18">
        <v>104.58</v>
      </c>
      <c r="J61" s="18">
        <v>103.66</v>
      </c>
      <c r="K61" s="18">
        <v>103.54</v>
      </c>
      <c r="L61" s="18">
        <v>109.66</v>
      </c>
      <c r="M61" s="18">
        <v>110.68</v>
      </c>
      <c r="N61" s="18">
        <v>106.11</v>
      </c>
      <c r="O61" s="18">
        <v>102.58</v>
      </c>
      <c r="P61" s="18">
        <v>103.54</v>
      </c>
      <c r="Q61" s="18">
        <v>110.77</v>
      </c>
      <c r="R61" s="18">
        <v>111.54</v>
      </c>
      <c r="S61" s="18">
        <v>113.54</v>
      </c>
      <c r="T61" s="18">
        <v>113.22</v>
      </c>
      <c r="U61" s="18">
        <v>114.18</v>
      </c>
      <c r="V61" s="18">
        <v>110.57</v>
      </c>
      <c r="W61" s="18">
        <v>105.71</v>
      </c>
      <c r="X61" s="18">
        <v>108.33</v>
      </c>
      <c r="Y61" s="18">
        <v>108.48</v>
      </c>
      <c r="Z61" s="18">
        <v>107.11</v>
      </c>
      <c r="AA61" s="18">
        <v>104.31</v>
      </c>
      <c r="AB61" s="22">
        <f t="shared" si="27"/>
        <v>2573.22</v>
      </c>
    </row>
    <row r="62" s="1" customFormat="1" ht="20" customHeight="1" spans="1:29">
      <c r="A62" s="15"/>
      <c r="B62" s="16"/>
      <c r="C62" s="17" t="s">
        <v>38</v>
      </c>
      <c r="D62" s="19">
        <v>102.2138</v>
      </c>
      <c r="E62" s="19">
        <v>106.4325</v>
      </c>
      <c r="F62" s="19">
        <v>107.6149</v>
      </c>
      <c r="G62" s="19">
        <v>105.1653</v>
      </c>
      <c r="H62" s="19">
        <v>104.8134</v>
      </c>
      <c r="I62" s="19">
        <v>104.7534</v>
      </c>
      <c r="J62" s="19">
        <v>103.9473</v>
      </c>
      <c r="K62" s="19">
        <v>102.3176</v>
      </c>
      <c r="L62" s="19">
        <v>109.7201</v>
      </c>
      <c r="M62" s="19">
        <v>112.64</v>
      </c>
      <c r="N62" s="19">
        <v>111.7009</v>
      </c>
      <c r="O62" s="19">
        <v>105.2586</v>
      </c>
      <c r="P62" s="19">
        <v>103.5056</v>
      </c>
      <c r="Q62" s="19">
        <v>109.8438</v>
      </c>
      <c r="R62" s="19">
        <v>110.4089</v>
      </c>
      <c r="S62" s="19">
        <v>111.1159</v>
      </c>
      <c r="T62" s="19">
        <v>110.5122</v>
      </c>
      <c r="U62" s="19">
        <v>109.4687</v>
      </c>
      <c r="V62" s="19">
        <v>105.4169</v>
      </c>
      <c r="W62" s="19">
        <v>102.5869</v>
      </c>
      <c r="X62" s="19">
        <v>106.7211</v>
      </c>
      <c r="Y62" s="19">
        <v>107.3741</v>
      </c>
      <c r="Z62" s="19">
        <v>106.3286</v>
      </c>
      <c r="AA62" s="19">
        <v>99.3362</v>
      </c>
      <c r="AB62" s="22">
        <f t="shared" si="27"/>
        <v>2559.1967</v>
      </c>
      <c r="AC62" s="21">
        <f>MAX(D62:AA62)</f>
        <v>112.64</v>
      </c>
    </row>
    <row r="63" s="1" customFormat="1" ht="20" hidden="1" customHeight="1" spans="1:28">
      <c r="A63" s="15"/>
      <c r="B63" s="16"/>
      <c r="C63" s="17" t="s">
        <v>39</v>
      </c>
      <c r="D63" s="20">
        <f t="shared" ref="D63:AB63" si="29">D61-D62</f>
        <v>-0.883800000000008</v>
      </c>
      <c r="E63" s="20">
        <f t="shared" si="29"/>
        <v>-1.7825</v>
      </c>
      <c r="F63" s="20">
        <f t="shared" si="29"/>
        <v>-2.4349</v>
      </c>
      <c r="G63" s="20">
        <f t="shared" si="29"/>
        <v>-0.545299999999997</v>
      </c>
      <c r="H63" s="20">
        <f t="shared" si="29"/>
        <v>0.516599999999997</v>
      </c>
      <c r="I63" s="20">
        <f t="shared" si="29"/>
        <v>-0.173400000000001</v>
      </c>
      <c r="J63" s="20">
        <f t="shared" si="29"/>
        <v>-0.287300000000002</v>
      </c>
      <c r="K63" s="20">
        <f t="shared" si="29"/>
        <v>1.22240000000001</v>
      </c>
      <c r="L63" s="20">
        <f t="shared" si="29"/>
        <v>-0.0601000000000056</v>
      </c>
      <c r="M63" s="20">
        <f t="shared" si="29"/>
        <v>-1.95999999999999</v>
      </c>
      <c r="N63" s="20">
        <f t="shared" si="29"/>
        <v>-5.5909</v>
      </c>
      <c r="O63" s="20">
        <f t="shared" si="29"/>
        <v>-2.6786</v>
      </c>
      <c r="P63" s="20">
        <f t="shared" si="29"/>
        <v>0.0344000000000051</v>
      </c>
      <c r="Q63" s="20">
        <f t="shared" si="29"/>
        <v>0.926199999999994</v>
      </c>
      <c r="R63" s="20">
        <f t="shared" si="29"/>
        <v>1.1311</v>
      </c>
      <c r="S63" s="20">
        <f t="shared" si="29"/>
        <v>2.42410000000001</v>
      </c>
      <c r="T63" s="20">
        <f t="shared" si="29"/>
        <v>2.70779999999999</v>
      </c>
      <c r="U63" s="20">
        <f t="shared" si="29"/>
        <v>4.71130000000001</v>
      </c>
      <c r="V63" s="20">
        <f t="shared" si="29"/>
        <v>5.15309999999999</v>
      </c>
      <c r="W63" s="20">
        <f t="shared" si="29"/>
        <v>3.12309999999999</v>
      </c>
      <c r="X63" s="20">
        <f t="shared" si="29"/>
        <v>1.60889999999999</v>
      </c>
      <c r="Y63" s="20">
        <f t="shared" si="29"/>
        <v>1.10590000000001</v>
      </c>
      <c r="Z63" s="20">
        <f t="shared" si="29"/>
        <v>0.781400000000005</v>
      </c>
      <c r="AA63" s="20">
        <f t="shared" si="29"/>
        <v>4.9738</v>
      </c>
      <c r="AB63" s="22">
        <f t="shared" si="29"/>
        <v>14.0232999999998</v>
      </c>
    </row>
    <row r="64" s="1" customFormat="1" ht="20" hidden="1" customHeight="1" spans="1:28">
      <c r="A64" s="15">
        <v>46163</v>
      </c>
      <c r="B64" s="16">
        <v>4303121811816</v>
      </c>
      <c r="C64" s="17" t="s">
        <v>37</v>
      </c>
      <c r="D64" s="18">
        <v>101.41</v>
      </c>
      <c r="E64" s="18">
        <v>104.75</v>
      </c>
      <c r="F64" s="18">
        <v>105.18</v>
      </c>
      <c r="G64" s="18">
        <v>104.21</v>
      </c>
      <c r="H64" s="18">
        <v>105.41</v>
      </c>
      <c r="I64" s="18">
        <v>104.66</v>
      </c>
      <c r="J64" s="18">
        <v>103.74</v>
      </c>
      <c r="K64" s="18">
        <v>103.66</v>
      </c>
      <c r="L64" s="18">
        <v>109.81</v>
      </c>
      <c r="M64" s="18">
        <v>110.77</v>
      </c>
      <c r="N64" s="18">
        <v>106.08</v>
      </c>
      <c r="O64" s="18">
        <v>102.71</v>
      </c>
      <c r="P64" s="18">
        <v>103.61</v>
      </c>
      <c r="Q64" s="18">
        <v>110.62</v>
      </c>
      <c r="R64" s="18">
        <v>111.58</v>
      </c>
      <c r="S64" s="18">
        <v>113.62</v>
      </c>
      <c r="T64" s="18">
        <v>113.18</v>
      </c>
      <c r="U64" s="18">
        <v>114.21</v>
      </c>
      <c r="V64" s="18">
        <v>110.66</v>
      </c>
      <c r="W64" s="18">
        <v>105.62</v>
      </c>
      <c r="X64" s="18">
        <v>108.28</v>
      </c>
      <c r="Y64" s="18">
        <v>108.71</v>
      </c>
      <c r="Z64" s="18">
        <v>107.62</v>
      </c>
      <c r="AA64" s="18">
        <v>104.28</v>
      </c>
      <c r="AB64" s="22">
        <f t="shared" ref="AB64:AB68" si="30">SUM(D64:AA64)</f>
        <v>2574.38</v>
      </c>
    </row>
    <row r="65" s="1" customFormat="1" ht="20" customHeight="1" spans="1:29">
      <c r="A65" s="15"/>
      <c r="B65" s="16"/>
      <c r="C65" s="17" t="s">
        <v>38</v>
      </c>
      <c r="D65" s="19">
        <v>101.9307</v>
      </c>
      <c r="E65" s="19">
        <v>105.8041</v>
      </c>
      <c r="F65" s="19">
        <v>103.3191</v>
      </c>
      <c r="G65" s="19">
        <v>105.4134</v>
      </c>
      <c r="H65" s="19">
        <v>104.0424</v>
      </c>
      <c r="I65" s="19">
        <v>104.1097</v>
      </c>
      <c r="J65" s="19">
        <v>101.8547</v>
      </c>
      <c r="K65" s="20">
        <v>102.4039</v>
      </c>
      <c r="L65" s="20">
        <v>106.0105</v>
      </c>
      <c r="M65" s="20">
        <v>111.429</v>
      </c>
      <c r="N65" s="20">
        <v>111.1018</v>
      </c>
      <c r="O65" s="20">
        <v>107.5747</v>
      </c>
      <c r="P65" s="20">
        <v>105.4258</v>
      </c>
      <c r="Q65" s="20">
        <v>111.723</v>
      </c>
      <c r="R65" s="20">
        <v>112.2228</v>
      </c>
      <c r="S65" s="20">
        <v>114.4193</v>
      </c>
      <c r="T65" s="20">
        <v>115.0476</v>
      </c>
      <c r="U65" s="20">
        <v>115.0055</v>
      </c>
      <c r="V65" s="20">
        <v>107.4797</v>
      </c>
      <c r="W65" s="20">
        <v>105.6069</v>
      </c>
      <c r="X65" s="20">
        <v>111.8093</v>
      </c>
      <c r="Y65" s="20">
        <v>111.5548</v>
      </c>
      <c r="Z65" s="20">
        <v>108.8877</v>
      </c>
      <c r="AA65" s="20">
        <v>103.0233</v>
      </c>
      <c r="AB65" s="22">
        <f t="shared" si="30"/>
        <v>2587.1997</v>
      </c>
      <c r="AC65" s="21">
        <f>MAX(D65:AA65)</f>
        <v>115.0476</v>
      </c>
    </row>
    <row r="66" s="1" customFormat="1" ht="20" hidden="1" customHeight="1" spans="1:28">
      <c r="A66" s="15"/>
      <c r="B66" s="16"/>
      <c r="C66" s="17" t="s">
        <v>39</v>
      </c>
      <c r="D66" s="20">
        <f t="shared" ref="D66:AB66" si="31">D64-D65</f>
        <v>-0.520700000000005</v>
      </c>
      <c r="E66" s="20">
        <f t="shared" si="31"/>
        <v>-1.05410000000001</v>
      </c>
      <c r="F66" s="20">
        <f t="shared" si="31"/>
        <v>1.8609</v>
      </c>
      <c r="G66" s="20">
        <f t="shared" si="31"/>
        <v>-1.2034</v>
      </c>
      <c r="H66" s="20">
        <f t="shared" si="31"/>
        <v>1.3676</v>
      </c>
      <c r="I66" s="20">
        <f t="shared" si="31"/>
        <v>0.550299999999993</v>
      </c>
      <c r="J66" s="20">
        <f t="shared" si="31"/>
        <v>1.8853</v>
      </c>
      <c r="K66" s="20">
        <f t="shared" si="31"/>
        <v>1.2561</v>
      </c>
      <c r="L66" s="20">
        <f t="shared" si="31"/>
        <v>3.79950000000001</v>
      </c>
      <c r="M66" s="20">
        <f t="shared" si="31"/>
        <v>-0.659000000000006</v>
      </c>
      <c r="N66" s="20">
        <f t="shared" si="31"/>
        <v>-5.0218</v>
      </c>
      <c r="O66" s="20">
        <f t="shared" si="31"/>
        <v>-4.86470000000001</v>
      </c>
      <c r="P66" s="20">
        <f t="shared" si="31"/>
        <v>-1.8158</v>
      </c>
      <c r="Q66" s="20">
        <f t="shared" si="31"/>
        <v>-1.10299999999999</v>
      </c>
      <c r="R66" s="20">
        <f t="shared" si="31"/>
        <v>-0.642800000000008</v>
      </c>
      <c r="S66" s="20">
        <f t="shared" si="31"/>
        <v>-0.799300000000002</v>
      </c>
      <c r="T66" s="20">
        <f t="shared" si="31"/>
        <v>-1.8676</v>
      </c>
      <c r="U66" s="20">
        <f t="shared" si="31"/>
        <v>-0.795500000000004</v>
      </c>
      <c r="V66" s="20">
        <f t="shared" si="31"/>
        <v>3.1803</v>
      </c>
      <c r="W66" s="20">
        <f t="shared" si="31"/>
        <v>0.0131000000000085</v>
      </c>
      <c r="X66" s="20">
        <f t="shared" si="31"/>
        <v>-3.52929999999999</v>
      </c>
      <c r="Y66" s="20">
        <f t="shared" si="31"/>
        <v>-2.84480000000001</v>
      </c>
      <c r="Z66" s="20">
        <f t="shared" si="31"/>
        <v>-1.26769999999999</v>
      </c>
      <c r="AA66" s="20">
        <f t="shared" si="31"/>
        <v>1.2567</v>
      </c>
      <c r="AB66" s="22">
        <f t="shared" si="31"/>
        <v>-12.8197</v>
      </c>
    </row>
    <row r="67" s="1" customFormat="1" ht="20" hidden="1" customHeight="1" spans="1:28">
      <c r="A67" s="15">
        <v>46164</v>
      </c>
      <c r="B67" s="16">
        <v>4303121811816</v>
      </c>
      <c r="C67" s="17" t="s">
        <v>37</v>
      </c>
      <c r="D67" s="18">
        <v>101.38</v>
      </c>
      <c r="E67" s="18">
        <v>104.81</v>
      </c>
      <c r="F67" s="18">
        <v>105.21</v>
      </c>
      <c r="G67" s="18">
        <v>104.35</v>
      </c>
      <c r="H67" s="18">
        <v>105.62</v>
      </c>
      <c r="I67" s="18">
        <v>104.71</v>
      </c>
      <c r="J67" s="18">
        <v>103.66</v>
      </c>
      <c r="K67" s="18">
        <v>103.74</v>
      </c>
      <c r="L67" s="18">
        <v>109.78</v>
      </c>
      <c r="M67" s="18">
        <v>110.62</v>
      </c>
      <c r="N67" s="18">
        <v>106.11</v>
      </c>
      <c r="O67" s="18">
        <v>102.68</v>
      </c>
      <c r="P67" s="18">
        <v>103.77</v>
      </c>
      <c r="Q67" s="18">
        <v>110.66</v>
      </c>
      <c r="R67" s="18">
        <v>111.48</v>
      </c>
      <c r="S67" s="18">
        <v>113.52</v>
      </c>
      <c r="T67" s="18">
        <v>113.21</v>
      </c>
      <c r="U67" s="18">
        <v>114.18</v>
      </c>
      <c r="V67" s="18">
        <v>110.71</v>
      </c>
      <c r="W67" s="18">
        <v>105.54</v>
      </c>
      <c r="X67" s="18">
        <v>108.11</v>
      </c>
      <c r="Y67" s="18">
        <v>108.62</v>
      </c>
      <c r="Z67" s="18">
        <v>107.48</v>
      </c>
      <c r="AA67" s="18">
        <v>104.22</v>
      </c>
      <c r="AB67" s="22">
        <f t="shared" si="30"/>
        <v>2574.17</v>
      </c>
    </row>
    <row r="68" s="1" customFormat="1" ht="20" customHeight="1" spans="1:29">
      <c r="A68" s="15"/>
      <c r="B68" s="16"/>
      <c r="C68" s="17" t="s">
        <v>38</v>
      </c>
      <c r="D68" s="19">
        <v>104.2043</v>
      </c>
      <c r="E68" s="19">
        <v>107.9954</v>
      </c>
      <c r="F68" s="19">
        <v>107.7982</v>
      </c>
      <c r="G68" s="19">
        <v>107.393</v>
      </c>
      <c r="H68" s="19">
        <v>107.0319</v>
      </c>
      <c r="I68" s="19">
        <v>107.6768</v>
      </c>
      <c r="J68" s="19">
        <v>105.2145</v>
      </c>
      <c r="K68" s="19">
        <v>106.221</v>
      </c>
      <c r="L68" s="19">
        <v>112.8772</v>
      </c>
      <c r="M68" s="19">
        <v>115.4612</v>
      </c>
      <c r="N68" s="19">
        <v>113.0237</v>
      </c>
      <c r="O68" s="19">
        <v>108.24</v>
      </c>
      <c r="P68" s="19">
        <v>110.2869</v>
      </c>
      <c r="Q68" s="19">
        <v>113.5094</v>
      </c>
      <c r="R68" s="19">
        <v>116.8129</v>
      </c>
      <c r="S68" s="19">
        <v>118.6223</v>
      </c>
      <c r="T68" s="19">
        <v>118.5782</v>
      </c>
      <c r="U68" s="19">
        <v>117.9394</v>
      </c>
      <c r="V68" s="19">
        <v>115.5036</v>
      </c>
      <c r="W68" s="19">
        <v>112.4816</v>
      </c>
      <c r="X68" s="19">
        <v>115.1972</v>
      </c>
      <c r="Y68" s="19">
        <v>115.8185</v>
      </c>
      <c r="Z68" s="19">
        <v>113.7664</v>
      </c>
      <c r="AA68" s="19">
        <v>108.8543</v>
      </c>
      <c r="AB68" s="22">
        <f t="shared" si="30"/>
        <v>2680.5079</v>
      </c>
      <c r="AC68" s="21">
        <f>MAX(D68:AA68)</f>
        <v>118.6223</v>
      </c>
    </row>
    <row r="69" s="1" customFormat="1" ht="20" hidden="1" customHeight="1" spans="1:28">
      <c r="A69" s="15"/>
      <c r="B69" s="16"/>
      <c r="C69" s="17" t="s">
        <v>39</v>
      </c>
      <c r="D69" s="20">
        <f t="shared" ref="D69:AB69" si="32">D67-D68</f>
        <v>-2.82430000000001</v>
      </c>
      <c r="E69" s="20">
        <f t="shared" si="32"/>
        <v>-3.1854</v>
      </c>
      <c r="F69" s="20">
        <f t="shared" si="32"/>
        <v>-2.5882</v>
      </c>
      <c r="G69" s="20">
        <f t="shared" si="32"/>
        <v>-3.04300000000001</v>
      </c>
      <c r="H69" s="20">
        <f t="shared" si="32"/>
        <v>-1.41189999999999</v>
      </c>
      <c r="I69" s="20">
        <f t="shared" si="32"/>
        <v>-2.96680000000001</v>
      </c>
      <c r="J69" s="20">
        <f t="shared" si="32"/>
        <v>-1.5545</v>
      </c>
      <c r="K69" s="20">
        <f t="shared" si="32"/>
        <v>-2.48100000000001</v>
      </c>
      <c r="L69" s="20">
        <f t="shared" si="32"/>
        <v>-3.0972</v>
      </c>
      <c r="M69" s="20">
        <f t="shared" si="32"/>
        <v>-4.8412</v>
      </c>
      <c r="N69" s="20">
        <f t="shared" si="32"/>
        <v>-6.91370000000001</v>
      </c>
      <c r="O69" s="20">
        <f t="shared" si="32"/>
        <v>-5.55999999999999</v>
      </c>
      <c r="P69" s="20">
        <f t="shared" si="32"/>
        <v>-6.51690000000001</v>
      </c>
      <c r="Q69" s="20">
        <f t="shared" si="32"/>
        <v>-2.8494</v>
      </c>
      <c r="R69" s="20">
        <f t="shared" si="32"/>
        <v>-5.3329</v>
      </c>
      <c r="S69" s="20">
        <f t="shared" si="32"/>
        <v>-5.1023</v>
      </c>
      <c r="T69" s="20">
        <f t="shared" si="32"/>
        <v>-5.3682</v>
      </c>
      <c r="U69" s="20">
        <f t="shared" si="32"/>
        <v>-3.7594</v>
      </c>
      <c r="V69" s="20">
        <f t="shared" si="32"/>
        <v>-4.79360000000001</v>
      </c>
      <c r="W69" s="20">
        <f t="shared" si="32"/>
        <v>-6.94159999999999</v>
      </c>
      <c r="X69" s="20">
        <f t="shared" si="32"/>
        <v>-7.0872</v>
      </c>
      <c r="Y69" s="20">
        <f t="shared" si="32"/>
        <v>-7.1985</v>
      </c>
      <c r="Z69" s="20">
        <f t="shared" si="32"/>
        <v>-6.2864</v>
      </c>
      <c r="AA69" s="20">
        <f t="shared" si="32"/>
        <v>-4.6343</v>
      </c>
      <c r="AB69" s="22">
        <f t="shared" si="32"/>
        <v>-106.3379</v>
      </c>
    </row>
    <row r="70" s="1" customFormat="1" ht="20" hidden="1" customHeight="1" spans="1:28">
      <c r="A70" s="15">
        <v>46165</v>
      </c>
      <c r="B70" s="16">
        <v>4303121811816</v>
      </c>
      <c r="C70" s="17" t="s">
        <v>37</v>
      </c>
      <c r="D70" s="18">
        <v>101.21</v>
      </c>
      <c r="E70" s="18">
        <v>104.75</v>
      </c>
      <c r="F70" s="18">
        <v>105.18</v>
      </c>
      <c r="G70" s="18">
        <v>104.33</v>
      </c>
      <c r="H70" s="18">
        <v>105.57</v>
      </c>
      <c r="I70" s="18">
        <v>104.68</v>
      </c>
      <c r="J70" s="18">
        <v>103.53</v>
      </c>
      <c r="K70" s="18">
        <v>103.62</v>
      </c>
      <c r="L70" s="18">
        <v>109.33</v>
      </c>
      <c r="M70" s="18">
        <v>110.54</v>
      </c>
      <c r="N70" s="18">
        <v>106.08</v>
      </c>
      <c r="O70" s="18">
        <v>102.65</v>
      </c>
      <c r="P70" s="18">
        <v>103.68</v>
      </c>
      <c r="Q70" s="18">
        <v>110.48</v>
      </c>
      <c r="R70" s="18">
        <v>111.62</v>
      </c>
      <c r="S70" s="18">
        <v>113.48</v>
      </c>
      <c r="T70" s="18">
        <v>113.33</v>
      </c>
      <c r="U70" s="18">
        <v>114.08</v>
      </c>
      <c r="V70" s="18">
        <v>110.66</v>
      </c>
      <c r="W70" s="18">
        <v>105.34</v>
      </c>
      <c r="X70" s="18">
        <v>108.08</v>
      </c>
      <c r="Y70" s="18">
        <v>108.22</v>
      </c>
      <c r="Z70" s="18">
        <v>106.89</v>
      </c>
      <c r="AA70" s="18">
        <v>103.54</v>
      </c>
      <c r="AB70" s="22">
        <f t="shared" ref="AB70:AB74" si="33">SUM(D70:AA70)</f>
        <v>2570.87</v>
      </c>
    </row>
    <row r="71" s="1" customFormat="1" ht="20" customHeight="1" spans="1:29">
      <c r="A71" s="15"/>
      <c r="B71" s="16"/>
      <c r="C71" s="17" t="s">
        <v>38</v>
      </c>
      <c r="D71" s="19">
        <v>107.858</v>
      </c>
      <c r="E71" s="19">
        <v>111.9219</v>
      </c>
      <c r="F71" s="19">
        <v>111.6597</v>
      </c>
      <c r="G71" s="19">
        <v>112.2634</v>
      </c>
      <c r="H71" s="19">
        <v>111.1363</v>
      </c>
      <c r="I71" s="19">
        <v>109.5935</v>
      </c>
      <c r="J71" s="19">
        <v>109.3364</v>
      </c>
      <c r="K71" s="20">
        <v>111.0455</v>
      </c>
      <c r="L71" s="20">
        <v>116.8609</v>
      </c>
      <c r="M71" s="20">
        <v>117.102</v>
      </c>
      <c r="N71" s="20">
        <v>115.6249</v>
      </c>
      <c r="O71" s="20">
        <v>107.4884</v>
      </c>
      <c r="P71" s="20">
        <v>111.8638</v>
      </c>
      <c r="Q71" s="20">
        <v>113.7259</v>
      </c>
      <c r="R71" s="20">
        <v>116.549</v>
      </c>
      <c r="S71" s="20">
        <v>113.6678</v>
      </c>
      <c r="T71" s="20">
        <v>118.1413</v>
      </c>
      <c r="U71" s="20">
        <v>117.2793</v>
      </c>
      <c r="V71" s="20">
        <v>109.3576</v>
      </c>
      <c r="W71" s="20">
        <v>111.4714</v>
      </c>
      <c r="X71" s="20">
        <v>113.5816</v>
      </c>
      <c r="Y71" s="20">
        <v>113.8104</v>
      </c>
      <c r="Z71" s="20">
        <v>113.154</v>
      </c>
      <c r="AA71" s="20">
        <v>109.1869</v>
      </c>
      <c r="AB71" s="22">
        <f t="shared" si="33"/>
        <v>2703.6799</v>
      </c>
      <c r="AC71" s="21">
        <f>MAX(D71:AA71)</f>
        <v>118.1413</v>
      </c>
    </row>
    <row r="72" s="1" customFormat="1" ht="20" hidden="1" customHeight="1" spans="1:28">
      <c r="A72" s="15"/>
      <c r="B72" s="16"/>
      <c r="C72" s="17" t="s">
        <v>39</v>
      </c>
      <c r="D72" s="20">
        <f t="shared" ref="D72:AB72" si="34">D70-D71</f>
        <v>-6.64800000000001</v>
      </c>
      <c r="E72" s="20">
        <f t="shared" si="34"/>
        <v>-7.17189999999999</v>
      </c>
      <c r="F72" s="20">
        <f t="shared" si="34"/>
        <v>-6.47969999999999</v>
      </c>
      <c r="G72" s="20">
        <f t="shared" si="34"/>
        <v>-7.93340000000001</v>
      </c>
      <c r="H72" s="20">
        <f t="shared" si="34"/>
        <v>-5.56630000000001</v>
      </c>
      <c r="I72" s="20">
        <f t="shared" si="34"/>
        <v>-4.9135</v>
      </c>
      <c r="J72" s="20">
        <f t="shared" si="34"/>
        <v>-5.8064</v>
      </c>
      <c r="K72" s="20">
        <f t="shared" si="34"/>
        <v>-7.4255</v>
      </c>
      <c r="L72" s="20">
        <f t="shared" si="34"/>
        <v>-7.5309</v>
      </c>
      <c r="M72" s="20">
        <f t="shared" si="34"/>
        <v>-6.562</v>
      </c>
      <c r="N72" s="20">
        <f t="shared" si="34"/>
        <v>-9.5449</v>
      </c>
      <c r="O72" s="20">
        <f t="shared" si="34"/>
        <v>-4.83839999999999</v>
      </c>
      <c r="P72" s="20">
        <f t="shared" si="34"/>
        <v>-8.18379999999999</v>
      </c>
      <c r="Q72" s="20">
        <f t="shared" si="34"/>
        <v>-3.24589999999999</v>
      </c>
      <c r="R72" s="20">
        <f t="shared" si="34"/>
        <v>-4.929</v>
      </c>
      <c r="S72" s="20">
        <f t="shared" si="34"/>
        <v>-0.187799999999996</v>
      </c>
      <c r="T72" s="20">
        <f t="shared" si="34"/>
        <v>-4.8113</v>
      </c>
      <c r="U72" s="20">
        <f t="shared" si="34"/>
        <v>-3.19930000000001</v>
      </c>
      <c r="V72" s="20">
        <f t="shared" si="34"/>
        <v>1.30239999999999</v>
      </c>
      <c r="W72" s="20">
        <f t="shared" si="34"/>
        <v>-6.1314</v>
      </c>
      <c r="X72" s="20">
        <f t="shared" si="34"/>
        <v>-5.5016</v>
      </c>
      <c r="Y72" s="20">
        <f t="shared" si="34"/>
        <v>-5.5904</v>
      </c>
      <c r="Z72" s="20">
        <f t="shared" si="34"/>
        <v>-6.264</v>
      </c>
      <c r="AA72" s="20">
        <f t="shared" si="34"/>
        <v>-5.64689999999999</v>
      </c>
      <c r="AB72" s="22">
        <f t="shared" si="34"/>
        <v>-132.8099</v>
      </c>
    </row>
    <row r="73" s="1" customFormat="1" ht="20" hidden="1" customHeight="1" spans="1:28">
      <c r="A73" s="15">
        <v>46166</v>
      </c>
      <c r="B73" s="16">
        <v>4303121811816</v>
      </c>
      <c r="C73" s="17" t="s">
        <v>37</v>
      </c>
      <c r="D73" s="18">
        <v>100.11</v>
      </c>
      <c r="E73" s="18">
        <v>101.65</v>
      </c>
      <c r="F73" s="18">
        <v>102.84</v>
      </c>
      <c r="G73" s="18">
        <v>103.55</v>
      </c>
      <c r="H73" s="18">
        <v>103.62</v>
      </c>
      <c r="I73" s="18">
        <v>101.22</v>
      </c>
      <c r="J73" s="18">
        <v>94.33</v>
      </c>
      <c r="K73" s="18">
        <v>92.21</v>
      </c>
      <c r="L73" s="18">
        <v>91.32</v>
      </c>
      <c r="M73" s="18">
        <v>89.62</v>
      </c>
      <c r="N73" s="18">
        <v>84.66</v>
      </c>
      <c r="O73" s="18">
        <v>85.11</v>
      </c>
      <c r="P73" s="18">
        <v>85.62</v>
      </c>
      <c r="Q73" s="18">
        <v>89.71</v>
      </c>
      <c r="R73" s="18">
        <v>92.54</v>
      </c>
      <c r="S73" s="18">
        <v>93.63</v>
      </c>
      <c r="T73" s="18">
        <v>92.71</v>
      </c>
      <c r="U73" s="18">
        <v>93.22</v>
      </c>
      <c r="V73" s="18">
        <v>90.84</v>
      </c>
      <c r="W73" s="18">
        <v>90.89</v>
      </c>
      <c r="X73" s="18">
        <v>95.21</v>
      </c>
      <c r="Y73" s="18">
        <v>94.89</v>
      </c>
      <c r="Z73" s="18">
        <v>92.96</v>
      </c>
      <c r="AA73" s="18">
        <v>89.44</v>
      </c>
      <c r="AB73" s="22">
        <f t="shared" si="33"/>
        <v>2251.9</v>
      </c>
    </row>
    <row r="74" s="1" customFormat="1" ht="20" customHeight="1" spans="1:29">
      <c r="A74" s="15"/>
      <c r="B74" s="16"/>
      <c r="C74" s="17" t="s">
        <v>38</v>
      </c>
      <c r="D74" s="19">
        <v>107.3371</v>
      </c>
      <c r="E74" s="19">
        <v>111.658</v>
      </c>
      <c r="F74" s="19">
        <v>111.0198</v>
      </c>
      <c r="G74" s="19">
        <v>109.9296</v>
      </c>
      <c r="H74" s="19">
        <v>109.752</v>
      </c>
      <c r="I74" s="19">
        <v>109.7641</v>
      </c>
      <c r="J74" s="19">
        <v>99.2658</v>
      </c>
      <c r="K74" s="19">
        <v>98.0022</v>
      </c>
      <c r="L74" s="19">
        <v>102.6065</v>
      </c>
      <c r="M74" s="19">
        <v>100.7072</v>
      </c>
      <c r="N74" s="19">
        <v>97.9827</v>
      </c>
      <c r="O74" s="19">
        <v>95.1755</v>
      </c>
      <c r="P74" s="19">
        <v>95.6392</v>
      </c>
      <c r="Q74" s="19">
        <v>103.4036</v>
      </c>
      <c r="R74" s="19">
        <v>100.5693</v>
      </c>
      <c r="S74" s="19">
        <v>98.3913</v>
      </c>
      <c r="T74" s="19">
        <v>101.6516</v>
      </c>
      <c r="U74" s="19">
        <v>104.8663</v>
      </c>
      <c r="V74" s="19">
        <v>101.3514</v>
      </c>
      <c r="W74" s="19">
        <v>99.8401</v>
      </c>
      <c r="X74" s="19">
        <v>104.6109</v>
      </c>
      <c r="Y74" s="19">
        <v>102.7101</v>
      </c>
      <c r="Z74" s="19">
        <v>103.8048</v>
      </c>
      <c r="AA74" s="19">
        <v>96.8616</v>
      </c>
      <c r="AB74" s="22">
        <f t="shared" si="33"/>
        <v>2466.9007</v>
      </c>
      <c r="AC74" s="21">
        <f>MAX(D74:AA74)</f>
        <v>111.658</v>
      </c>
    </row>
    <row r="75" s="1" customFormat="1" ht="20" hidden="1" customHeight="1" spans="1:28">
      <c r="A75" s="15"/>
      <c r="B75" s="16"/>
      <c r="C75" s="17" t="s">
        <v>39</v>
      </c>
      <c r="D75" s="20">
        <f t="shared" ref="D75:AB75" si="35">D73-D74</f>
        <v>-7.22710000000001</v>
      </c>
      <c r="E75" s="20">
        <f t="shared" si="35"/>
        <v>-10.008</v>
      </c>
      <c r="F75" s="20">
        <f t="shared" si="35"/>
        <v>-8.1798</v>
      </c>
      <c r="G75" s="20">
        <f t="shared" si="35"/>
        <v>-6.3796</v>
      </c>
      <c r="H75" s="20">
        <f t="shared" si="35"/>
        <v>-6.13199999999999</v>
      </c>
      <c r="I75" s="20">
        <f t="shared" si="35"/>
        <v>-8.5441</v>
      </c>
      <c r="J75" s="20">
        <f t="shared" si="35"/>
        <v>-4.9358</v>
      </c>
      <c r="K75" s="20">
        <f t="shared" si="35"/>
        <v>-5.79220000000001</v>
      </c>
      <c r="L75" s="20">
        <f t="shared" si="35"/>
        <v>-11.2865</v>
      </c>
      <c r="M75" s="20">
        <f t="shared" si="35"/>
        <v>-11.0872</v>
      </c>
      <c r="N75" s="20">
        <f t="shared" si="35"/>
        <v>-13.3227</v>
      </c>
      <c r="O75" s="20">
        <f t="shared" si="35"/>
        <v>-10.0655</v>
      </c>
      <c r="P75" s="20">
        <f t="shared" si="35"/>
        <v>-10.0192</v>
      </c>
      <c r="Q75" s="20">
        <f t="shared" si="35"/>
        <v>-13.6936</v>
      </c>
      <c r="R75" s="20">
        <f t="shared" si="35"/>
        <v>-8.02929999999999</v>
      </c>
      <c r="S75" s="20">
        <f t="shared" si="35"/>
        <v>-4.76130000000001</v>
      </c>
      <c r="T75" s="20">
        <f t="shared" si="35"/>
        <v>-8.94160000000001</v>
      </c>
      <c r="U75" s="20">
        <f t="shared" si="35"/>
        <v>-11.6463</v>
      </c>
      <c r="V75" s="20">
        <f t="shared" si="35"/>
        <v>-10.5114</v>
      </c>
      <c r="W75" s="20">
        <f t="shared" si="35"/>
        <v>-8.95010000000001</v>
      </c>
      <c r="X75" s="20">
        <f t="shared" si="35"/>
        <v>-9.40090000000001</v>
      </c>
      <c r="Y75" s="20">
        <f t="shared" si="35"/>
        <v>-7.8201</v>
      </c>
      <c r="Z75" s="20">
        <f t="shared" si="35"/>
        <v>-10.8448</v>
      </c>
      <c r="AA75" s="20">
        <f t="shared" si="35"/>
        <v>-7.4216</v>
      </c>
      <c r="AB75" s="22">
        <f t="shared" si="35"/>
        <v>-215.0007</v>
      </c>
    </row>
    <row r="76" s="1" customFormat="1" ht="20" hidden="1" customHeight="1" spans="1:28">
      <c r="A76" s="15">
        <v>46167</v>
      </c>
      <c r="B76" s="16">
        <v>4303121811816</v>
      </c>
      <c r="C76" s="17" t="s">
        <v>37</v>
      </c>
      <c r="D76" s="18">
        <v>93.51</v>
      </c>
      <c r="E76" s="18">
        <v>93.48</v>
      </c>
      <c r="F76" s="18">
        <v>93.77</v>
      </c>
      <c r="G76" s="18">
        <v>94.58</v>
      </c>
      <c r="H76" s="18">
        <v>94.68</v>
      </c>
      <c r="I76" s="18">
        <v>94.28</v>
      </c>
      <c r="J76" s="18">
        <v>94.31</v>
      </c>
      <c r="K76" s="18">
        <v>97.11</v>
      </c>
      <c r="L76" s="18">
        <v>110.18</v>
      </c>
      <c r="M76" s="18">
        <v>112.34</v>
      </c>
      <c r="N76" s="18">
        <v>109.78</v>
      </c>
      <c r="O76" s="18">
        <v>98.33</v>
      </c>
      <c r="P76" s="18">
        <v>102.54</v>
      </c>
      <c r="Q76" s="18">
        <v>101.11</v>
      </c>
      <c r="R76" s="18">
        <v>111.45</v>
      </c>
      <c r="S76" s="18">
        <v>112.68</v>
      </c>
      <c r="T76" s="18">
        <v>111.62</v>
      </c>
      <c r="U76" s="18">
        <v>111.89</v>
      </c>
      <c r="V76" s="18">
        <v>111.54</v>
      </c>
      <c r="W76" s="18">
        <v>107.11</v>
      </c>
      <c r="X76" s="18">
        <v>109.75</v>
      </c>
      <c r="Y76" s="18">
        <v>109.32</v>
      </c>
      <c r="Z76" s="18">
        <v>108.11</v>
      </c>
      <c r="AA76" s="18">
        <v>104.11</v>
      </c>
      <c r="AB76" s="22">
        <f t="shared" ref="AB76:AB80" si="36">SUM(D76:AA76)</f>
        <v>2487.58</v>
      </c>
    </row>
    <row r="77" s="1" customFormat="1" ht="20" customHeight="1" spans="1:29">
      <c r="A77" s="15"/>
      <c r="B77" s="16"/>
      <c r="C77" s="17" t="s">
        <v>38</v>
      </c>
      <c r="D77" s="19">
        <v>98.2678</v>
      </c>
      <c r="E77" s="19">
        <v>102.3545</v>
      </c>
      <c r="F77" s="19">
        <v>104.2008</v>
      </c>
      <c r="G77" s="19">
        <v>104.0512</v>
      </c>
      <c r="H77" s="19">
        <v>104.5141</v>
      </c>
      <c r="I77" s="19">
        <v>100.7864</v>
      </c>
      <c r="J77" s="19">
        <v>100.9342</v>
      </c>
      <c r="K77" s="20">
        <v>102.2414</v>
      </c>
      <c r="L77" s="20">
        <v>117.2108</v>
      </c>
      <c r="M77" s="20">
        <v>113.3136</v>
      </c>
      <c r="N77" s="20">
        <v>114.4391</v>
      </c>
      <c r="O77" s="20">
        <v>108.5463</v>
      </c>
      <c r="P77" s="20">
        <v>109.2313</v>
      </c>
      <c r="Q77" s="20">
        <v>111.1587</v>
      </c>
      <c r="R77" s="20">
        <v>119.5608</v>
      </c>
      <c r="S77" s="20">
        <v>120.8873</v>
      </c>
      <c r="T77" s="20">
        <v>121.2282</v>
      </c>
      <c r="U77" s="20">
        <v>120.8216</v>
      </c>
      <c r="V77" s="20">
        <v>119.5467</v>
      </c>
      <c r="W77" s="20">
        <v>114.2869</v>
      </c>
      <c r="X77" s="20">
        <v>117.0628</v>
      </c>
      <c r="Y77" s="20">
        <v>115.8238</v>
      </c>
      <c r="Z77" s="20">
        <v>116.1881</v>
      </c>
      <c r="AA77" s="20">
        <v>112.5503</v>
      </c>
      <c r="AB77" s="22">
        <f t="shared" si="36"/>
        <v>2669.2067</v>
      </c>
      <c r="AC77" s="21">
        <f>MAX(D77:AA77)</f>
        <v>121.2282</v>
      </c>
    </row>
    <row r="78" s="1" customFormat="1" ht="20" hidden="1" customHeight="1" spans="1:28">
      <c r="A78" s="15"/>
      <c r="B78" s="16"/>
      <c r="C78" s="17" t="s">
        <v>39</v>
      </c>
      <c r="D78" s="20">
        <f t="shared" ref="D78:AB78" si="37">D76-D77</f>
        <v>-4.75779999999999</v>
      </c>
      <c r="E78" s="20">
        <f t="shared" si="37"/>
        <v>-8.8745</v>
      </c>
      <c r="F78" s="20">
        <f t="shared" si="37"/>
        <v>-10.4308</v>
      </c>
      <c r="G78" s="20">
        <f t="shared" si="37"/>
        <v>-9.4712</v>
      </c>
      <c r="H78" s="20">
        <f t="shared" si="37"/>
        <v>-9.83409999999999</v>
      </c>
      <c r="I78" s="20">
        <f t="shared" si="37"/>
        <v>-6.5064</v>
      </c>
      <c r="J78" s="20">
        <f t="shared" si="37"/>
        <v>-6.6242</v>
      </c>
      <c r="K78" s="20">
        <f t="shared" si="37"/>
        <v>-5.1314</v>
      </c>
      <c r="L78" s="20">
        <f t="shared" si="37"/>
        <v>-7.0308</v>
      </c>
      <c r="M78" s="20">
        <f t="shared" si="37"/>
        <v>-0.97359999999999</v>
      </c>
      <c r="N78" s="20">
        <f t="shared" si="37"/>
        <v>-4.6591</v>
      </c>
      <c r="O78" s="20">
        <f t="shared" si="37"/>
        <v>-10.2163</v>
      </c>
      <c r="P78" s="20">
        <f t="shared" si="37"/>
        <v>-6.6913</v>
      </c>
      <c r="Q78" s="20">
        <f t="shared" si="37"/>
        <v>-10.0487</v>
      </c>
      <c r="R78" s="20">
        <f t="shared" si="37"/>
        <v>-8.1108</v>
      </c>
      <c r="S78" s="20">
        <f t="shared" si="37"/>
        <v>-8.20729999999999</v>
      </c>
      <c r="T78" s="20">
        <f t="shared" si="37"/>
        <v>-9.6082</v>
      </c>
      <c r="U78" s="20">
        <f t="shared" si="37"/>
        <v>-8.9316</v>
      </c>
      <c r="V78" s="20">
        <f t="shared" si="37"/>
        <v>-8.0067</v>
      </c>
      <c r="W78" s="20">
        <f t="shared" si="37"/>
        <v>-7.1769</v>
      </c>
      <c r="X78" s="20">
        <f t="shared" si="37"/>
        <v>-7.3128</v>
      </c>
      <c r="Y78" s="20">
        <f t="shared" si="37"/>
        <v>-6.50380000000001</v>
      </c>
      <c r="Z78" s="20">
        <f t="shared" si="37"/>
        <v>-8.07810000000001</v>
      </c>
      <c r="AA78" s="20">
        <f t="shared" si="37"/>
        <v>-8.44029999999999</v>
      </c>
      <c r="AB78" s="22">
        <f t="shared" si="37"/>
        <v>-181.6267</v>
      </c>
    </row>
    <row r="79" s="2" customFormat="1" ht="20" hidden="1" customHeight="1" spans="1:210">
      <c r="A79" s="31">
        <v>46168</v>
      </c>
      <c r="B79" s="25">
        <v>4303121811816</v>
      </c>
      <c r="C79" s="17" t="s">
        <v>37</v>
      </c>
      <c r="D79" s="18">
        <v>101.2915</v>
      </c>
      <c r="E79" s="18">
        <v>103.54</v>
      </c>
      <c r="F79" s="18">
        <v>103.97</v>
      </c>
      <c r="G79" s="18">
        <v>105.16</v>
      </c>
      <c r="H79" s="18">
        <v>105.84</v>
      </c>
      <c r="I79" s="18">
        <v>105.5015</v>
      </c>
      <c r="J79" s="18">
        <v>103.8471</v>
      </c>
      <c r="K79" s="18">
        <v>103.59</v>
      </c>
      <c r="L79" s="18">
        <v>110.18</v>
      </c>
      <c r="M79" s="18">
        <v>112.1525</v>
      </c>
      <c r="N79" s="18">
        <v>113.2824</v>
      </c>
      <c r="O79" s="18">
        <v>107.0508</v>
      </c>
      <c r="P79" s="18">
        <v>109.1954</v>
      </c>
      <c r="Q79" s="18">
        <v>112.4108</v>
      </c>
      <c r="R79" s="18">
        <v>112.149</v>
      </c>
      <c r="S79" s="18">
        <v>112.761</v>
      </c>
      <c r="T79" s="18">
        <v>114.753</v>
      </c>
      <c r="U79" s="18">
        <v>111.9308</v>
      </c>
      <c r="V79" s="18">
        <v>109.4411</v>
      </c>
      <c r="W79" s="18">
        <v>103.08</v>
      </c>
      <c r="X79" s="18">
        <v>107.624</v>
      </c>
      <c r="Y79" s="18">
        <v>107.3987</v>
      </c>
      <c r="Z79" s="18">
        <v>107.6733</v>
      </c>
      <c r="AA79" s="18">
        <v>101.4974</v>
      </c>
      <c r="AB79" s="29">
        <f t="shared" si="36"/>
        <v>2585.3203</v>
      </c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</row>
    <row r="80" s="1" customFormat="1" ht="20" customHeight="1" spans="1:210">
      <c r="A80" s="31"/>
      <c r="B80" s="25"/>
      <c r="C80" s="17" t="s">
        <v>38</v>
      </c>
      <c r="D80" s="19">
        <v>111.4978</v>
      </c>
      <c r="E80" s="19">
        <v>114.8647</v>
      </c>
      <c r="F80" s="19">
        <v>114.9401</v>
      </c>
      <c r="G80" s="19">
        <v>115.9012</v>
      </c>
      <c r="H80" s="19">
        <v>115.0618</v>
      </c>
      <c r="I80" s="19">
        <v>115.148</v>
      </c>
      <c r="J80" s="19">
        <v>111.5752</v>
      </c>
      <c r="K80" s="19">
        <v>113.117</v>
      </c>
      <c r="L80" s="19">
        <v>121.9768</v>
      </c>
      <c r="M80" s="19">
        <v>120.3241</v>
      </c>
      <c r="N80" s="19">
        <v>119.6624</v>
      </c>
      <c r="O80" s="19">
        <v>119.951</v>
      </c>
      <c r="P80" s="19">
        <v>112.9956</v>
      </c>
      <c r="Q80" s="19">
        <v>117.8091</v>
      </c>
      <c r="R80" s="19">
        <v>117.9059</v>
      </c>
      <c r="S80" s="19">
        <v>122.3658</v>
      </c>
      <c r="T80" s="19">
        <v>122.922</v>
      </c>
      <c r="U80" s="19">
        <v>121.8888</v>
      </c>
      <c r="V80" s="19">
        <v>117.4237</v>
      </c>
      <c r="W80" s="19">
        <v>114.5672</v>
      </c>
      <c r="X80" s="19">
        <v>116.9802</v>
      </c>
      <c r="Y80" s="19">
        <v>116.8482</v>
      </c>
      <c r="Z80" s="19">
        <v>117.5698</v>
      </c>
      <c r="AA80" s="19">
        <v>111.8615</v>
      </c>
      <c r="AB80" s="29">
        <f t="shared" si="36"/>
        <v>2805.1579</v>
      </c>
      <c r="AC80" s="21">
        <f>MAX(D80:AA80)</f>
        <v>122.922</v>
      </c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</row>
    <row r="81" s="1" customFormat="1" ht="20" hidden="1" customHeight="1" spans="1:210">
      <c r="A81" s="31"/>
      <c r="B81" s="25"/>
      <c r="C81" s="17" t="s">
        <v>39</v>
      </c>
      <c r="D81" s="20">
        <f t="shared" ref="D81:AB81" si="38">D79-D80</f>
        <v>-10.2063</v>
      </c>
      <c r="E81" s="20">
        <f t="shared" si="38"/>
        <v>-11.3247</v>
      </c>
      <c r="F81" s="20">
        <f t="shared" si="38"/>
        <v>-10.9701</v>
      </c>
      <c r="G81" s="20">
        <f t="shared" si="38"/>
        <v>-10.7412</v>
      </c>
      <c r="H81" s="20">
        <f t="shared" si="38"/>
        <v>-9.2218</v>
      </c>
      <c r="I81" s="20">
        <f t="shared" si="38"/>
        <v>-9.6465</v>
      </c>
      <c r="J81" s="20">
        <f t="shared" si="38"/>
        <v>-7.7281</v>
      </c>
      <c r="K81" s="20">
        <f t="shared" si="38"/>
        <v>-9.527</v>
      </c>
      <c r="L81" s="20">
        <f t="shared" si="38"/>
        <v>-11.7968</v>
      </c>
      <c r="M81" s="20">
        <f t="shared" si="38"/>
        <v>-8.1716</v>
      </c>
      <c r="N81" s="20">
        <f t="shared" si="38"/>
        <v>-6.38000000000001</v>
      </c>
      <c r="O81" s="20">
        <f t="shared" si="38"/>
        <v>-12.9002</v>
      </c>
      <c r="P81" s="20">
        <f t="shared" si="38"/>
        <v>-3.80019999999999</v>
      </c>
      <c r="Q81" s="20">
        <f t="shared" si="38"/>
        <v>-5.39830000000001</v>
      </c>
      <c r="R81" s="20">
        <f t="shared" si="38"/>
        <v>-5.7569</v>
      </c>
      <c r="S81" s="20">
        <f t="shared" si="38"/>
        <v>-9.6048</v>
      </c>
      <c r="T81" s="20">
        <f t="shared" si="38"/>
        <v>-8.169</v>
      </c>
      <c r="U81" s="20">
        <f t="shared" si="38"/>
        <v>-9.958</v>
      </c>
      <c r="V81" s="20">
        <f t="shared" si="38"/>
        <v>-7.98259999999999</v>
      </c>
      <c r="W81" s="20">
        <f t="shared" si="38"/>
        <v>-11.4872</v>
      </c>
      <c r="X81" s="20">
        <f t="shared" si="38"/>
        <v>-9.3562</v>
      </c>
      <c r="Y81" s="20">
        <f t="shared" si="38"/>
        <v>-9.4495</v>
      </c>
      <c r="Z81" s="20">
        <f t="shared" si="38"/>
        <v>-9.8965</v>
      </c>
      <c r="AA81" s="20">
        <f t="shared" si="38"/>
        <v>-10.3641</v>
      </c>
      <c r="AB81" s="29">
        <f t="shared" si="38"/>
        <v>-219.837599999999</v>
      </c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</row>
    <row r="82" s="2" customFormat="1" ht="20" hidden="1" customHeight="1" spans="1:210">
      <c r="A82" s="31">
        <v>46169</v>
      </c>
      <c r="B82" s="25">
        <v>4303121811816</v>
      </c>
      <c r="C82" s="17" t="s">
        <v>37</v>
      </c>
      <c r="D82" s="18">
        <v>102.2138</v>
      </c>
      <c r="E82" s="18">
        <v>106.4325</v>
      </c>
      <c r="F82" s="18">
        <v>107.6149</v>
      </c>
      <c r="G82" s="18">
        <v>105.1653</v>
      </c>
      <c r="H82" s="18">
        <v>104.8134</v>
      </c>
      <c r="I82" s="18">
        <v>104.7534</v>
      </c>
      <c r="J82" s="18">
        <v>103.9473</v>
      </c>
      <c r="K82" s="18">
        <v>102.3176</v>
      </c>
      <c r="L82" s="18">
        <v>109.7201</v>
      </c>
      <c r="M82" s="18">
        <v>112.64</v>
      </c>
      <c r="N82" s="18">
        <v>111.7009</v>
      </c>
      <c r="O82" s="18">
        <v>105.2586</v>
      </c>
      <c r="P82" s="18">
        <v>103.5056</v>
      </c>
      <c r="Q82" s="18">
        <v>109.8438</v>
      </c>
      <c r="R82" s="18">
        <v>110.4089</v>
      </c>
      <c r="S82" s="18">
        <v>111.1159</v>
      </c>
      <c r="T82" s="18">
        <v>110.5122</v>
      </c>
      <c r="U82" s="18">
        <v>109.4687</v>
      </c>
      <c r="V82" s="18">
        <v>105.4169</v>
      </c>
      <c r="W82" s="18">
        <v>102.5869</v>
      </c>
      <c r="X82" s="18">
        <v>106.7211</v>
      </c>
      <c r="Y82" s="18">
        <v>107.3741</v>
      </c>
      <c r="Z82" s="18">
        <v>106.3286</v>
      </c>
      <c r="AA82" s="18">
        <v>100.31</v>
      </c>
      <c r="AB82" s="29">
        <f t="shared" ref="AB82:AB86" si="39">SUM(D82:AA82)</f>
        <v>2560.1705</v>
      </c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</row>
    <row r="83" s="1" customFormat="1" ht="20" customHeight="1" spans="1:210">
      <c r="A83" s="31"/>
      <c r="B83" s="25"/>
      <c r="C83" s="17" t="s">
        <v>38</v>
      </c>
      <c r="D83" s="19">
        <v>110.6829</v>
      </c>
      <c r="E83" s="19">
        <v>114.2433</v>
      </c>
      <c r="F83" s="19">
        <v>114.0287</v>
      </c>
      <c r="G83" s="19">
        <v>115.4331</v>
      </c>
      <c r="H83" s="19">
        <v>114.9619</v>
      </c>
      <c r="I83" s="19">
        <v>114.6605</v>
      </c>
      <c r="J83" s="19">
        <v>110.9081</v>
      </c>
      <c r="K83" s="20">
        <v>111.7336</v>
      </c>
      <c r="L83" s="20">
        <v>121.69</v>
      </c>
      <c r="M83" s="20">
        <v>118.008</v>
      </c>
      <c r="N83" s="20">
        <v>114.9614</v>
      </c>
      <c r="O83" s="20">
        <v>114.414</v>
      </c>
      <c r="P83" s="20">
        <v>109.7287</v>
      </c>
      <c r="Q83" s="20">
        <v>114.4335</v>
      </c>
      <c r="R83" s="20">
        <v>116.2427</v>
      </c>
      <c r="S83" s="20">
        <v>130.2151</v>
      </c>
      <c r="T83" s="20">
        <v>123.6558</v>
      </c>
      <c r="U83" s="20">
        <v>120.3734</v>
      </c>
      <c r="V83" s="20">
        <v>115.0248</v>
      </c>
      <c r="W83" s="20">
        <v>110.1989</v>
      </c>
      <c r="X83" s="20">
        <v>115.6408</v>
      </c>
      <c r="Y83" s="20">
        <v>114.349</v>
      </c>
      <c r="Z83" s="20">
        <v>114.1765</v>
      </c>
      <c r="AA83" s="20">
        <v>111.144</v>
      </c>
      <c r="AB83" s="29">
        <f t="shared" si="39"/>
        <v>2770.9087</v>
      </c>
      <c r="AC83" s="21">
        <f>MAX(D83:AA83)</f>
        <v>130.2151</v>
      </c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</row>
    <row r="84" s="1" customFormat="1" ht="20" hidden="1" customHeight="1" spans="1:210">
      <c r="A84" s="31"/>
      <c r="B84" s="25"/>
      <c r="C84" s="17" t="s">
        <v>39</v>
      </c>
      <c r="D84" s="20">
        <f t="shared" ref="D84:AB84" si="40">D82-D83</f>
        <v>-8.4691</v>
      </c>
      <c r="E84" s="20">
        <f t="shared" si="40"/>
        <v>-7.8108</v>
      </c>
      <c r="F84" s="20">
        <f t="shared" si="40"/>
        <v>-6.41379999999999</v>
      </c>
      <c r="G84" s="20">
        <f t="shared" si="40"/>
        <v>-10.2678</v>
      </c>
      <c r="H84" s="20">
        <f t="shared" si="40"/>
        <v>-10.1485</v>
      </c>
      <c r="I84" s="20">
        <f t="shared" si="40"/>
        <v>-9.9071</v>
      </c>
      <c r="J84" s="20">
        <f t="shared" si="40"/>
        <v>-6.96080000000001</v>
      </c>
      <c r="K84" s="20">
        <f t="shared" si="40"/>
        <v>-9.416</v>
      </c>
      <c r="L84" s="20">
        <f t="shared" si="40"/>
        <v>-11.9699</v>
      </c>
      <c r="M84" s="20">
        <f t="shared" si="40"/>
        <v>-5.36799999999999</v>
      </c>
      <c r="N84" s="20">
        <f t="shared" si="40"/>
        <v>-3.26049999999999</v>
      </c>
      <c r="O84" s="20">
        <f t="shared" si="40"/>
        <v>-9.1554</v>
      </c>
      <c r="P84" s="20">
        <f t="shared" si="40"/>
        <v>-6.2231</v>
      </c>
      <c r="Q84" s="20">
        <f t="shared" si="40"/>
        <v>-4.58969999999999</v>
      </c>
      <c r="R84" s="20">
        <f t="shared" si="40"/>
        <v>-5.8338</v>
      </c>
      <c r="S84" s="20">
        <f t="shared" si="40"/>
        <v>-19.0992</v>
      </c>
      <c r="T84" s="20">
        <f t="shared" si="40"/>
        <v>-13.1436</v>
      </c>
      <c r="U84" s="20">
        <f t="shared" si="40"/>
        <v>-10.9047</v>
      </c>
      <c r="V84" s="20">
        <f t="shared" si="40"/>
        <v>-9.6079</v>
      </c>
      <c r="W84" s="20">
        <f t="shared" si="40"/>
        <v>-7.61199999999999</v>
      </c>
      <c r="X84" s="20">
        <f t="shared" si="40"/>
        <v>-8.91969999999999</v>
      </c>
      <c r="Y84" s="20">
        <f t="shared" si="40"/>
        <v>-6.97490000000001</v>
      </c>
      <c r="Z84" s="20">
        <f t="shared" si="40"/>
        <v>-7.84790000000001</v>
      </c>
      <c r="AA84" s="20">
        <f t="shared" si="40"/>
        <v>-10.834</v>
      </c>
      <c r="AB84" s="29">
        <f t="shared" si="40"/>
        <v>-210.738200000001</v>
      </c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</row>
    <row r="85" s="2" customFormat="1" ht="20" hidden="1" customHeight="1" spans="1:210">
      <c r="A85" s="31">
        <v>46170</v>
      </c>
      <c r="B85" s="25">
        <v>4303121811816</v>
      </c>
      <c r="C85" s="17" t="s">
        <v>37</v>
      </c>
      <c r="D85" s="18">
        <v>101.9307</v>
      </c>
      <c r="E85" s="18">
        <v>105.8041</v>
      </c>
      <c r="F85" s="18">
        <v>103.3191</v>
      </c>
      <c r="G85" s="18">
        <v>105.4134</v>
      </c>
      <c r="H85" s="18">
        <v>104.0424</v>
      </c>
      <c r="I85" s="18">
        <v>104.1097</v>
      </c>
      <c r="J85" s="18">
        <v>101.8547</v>
      </c>
      <c r="K85" s="18">
        <v>102.4039</v>
      </c>
      <c r="L85" s="18">
        <v>106.0105</v>
      </c>
      <c r="M85" s="18">
        <v>111.429</v>
      </c>
      <c r="N85" s="18">
        <v>111.1018</v>
      </c>
      <c r="O85" s="18">
        <v>107.5747</v>
      </c>
      <c r="P85" s="18">
        <v>105.4258</v>
      </c>
      <c r="Q85" s="18">
        <v>111.723</v>
      </c>
      <c r="R85" s="18">
        <v>112.2228</v>
      </c>
      <c r="S85" s="18">
        <v>114.4193</v>
      </c>
      <c r="T85" s="18">
        <v>115.0476</v>
      </c>
      <c r="U85" s="18">
        <v>115.0055</v>
      </c>
      <c r="V85" s="18">
        <v>107.4797</v>
      </c>
      <c r="W85" s="18">
        <v>105.6069</v>
      </c>
      <c r="X85" s="18">
        <v>111.8093</v>
      </c>
      <c r="Y85" s="18">
        <v>111.5548</v>
      </c>
      <c r="Z85" s="18">
        <v>108.8877</v>
      </c>
      <c r="AA85" s="18">
        <v>103.0233</v>
      </c>
      <c r="AB85" s="29">
        <f t="shared" si="39"/>
        <v>2587.1997</v>
      </c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</row>
    <row r="86" s="1" customFormat="1" ht="20" customHeight="1" spans="1:29">
      <c r="A86" s="31"/>
      <c r="B86" s="25"/>
      <c r="C86" s="17" t="s">
        <v>38</v>
      </c>
      <c r="D86" s="19">
        <v>111.197</v>
      </c>
      <c r="E86" s="19">
        <v>111.3253</v>
      </c>
      <c r="F86" s="19">
        <v>111.5666</v>
      </c>
      <c r="G86" s="19">
        <v>112.7773</v>
      </c>
      <c r="H86" s="19">
        <v>111.1924</v>
      </c>
      <c r="I86" s="19">
        <v>110.6583</v>
      </c>
      <c r="J86" s="19">
        <v>111.3676</v>
      </c>
      <c r="K86" s="19">
        <v>107.068</v>
      </c>
      <c r="L86" s="19">
        <v>116.7725</v>
      </c>
      <c r="M86" s="19">
        <v>111.2589</v>
      </c>
      <c r="N86" s="19">
        <v>111.4749</v>
      </c>
      <c r="O86" s="19">
        <v>105.2093</v>
      </c>
      <c r="P86" s="19">
        <v>106.5451</v>
      </c>
      <c r="Q86" s="19">
        <v>115.2589</v>
      </c>
      <c r="R86" s="19">
        <v>116.1919</v>
      </c>
      <c r="S86" s="19">
        <v>118.5026</v>
      </c>
      <c r="T86" s="19">
        <v>119.9088</v>
      </c>
      <c r="U86" s="19">
        <v>118.8423</v>
      </c>
      <c r="V86" s="19">
        <v>115.104</v>
      </c>
      <c r="W86" s="19">
        <v>111.4731</v>
      </c>
      <c r="X86" s="19">
        <v>115.1849</v>
      </c>
      <c r="Y86" s="19">
        <v>114.3912</v>
      </c>
      <c r="Z86" s="19">
        <v>113.9424</v>
      </c>
      <c r="AA86" s="19">
        <v>109.3681</v>
      </c>
      <c r="AB86" s="22">
        <f t="shared" si="39"/>
        <v>2706.5814</v>
      </c>
      <c r="AC86" s="21">
        <f>MAX(D86:AA86)</f>
        <v>119.9088</v>
      </c>
    </row>
    <row r="87" s="1" customFormat="1" ht="20" hidden="1" customHeight="1" spans="1:28">
      <c r="A87" s="31"/>
      <c r="B87" s="25"/>
      <c r="C87" s="17" t="s">
        <v>39</v>
      </c>
      <c r="D87" s="20">
        <f t="shared" ref="D87:AB87" si="41">D85-D86</f>
        <v>-9.2663</v>
      </c>
      <c r="E87" s="20">
        <f t="shared" si="41"/>
        <v>-5.52119999999999</v>
      </c>
      <c r="F87" s="20">
        <f t="shared" si="41"/>
        <v>-8.24749999999999</v>
      </c>
      <c r="G87" s="20">
        <f t="shared" si="41"/>
        <v>-7.3639</v>
      </c>
      <c r="H87" s="20">
        <f t="shared" si="41"/>
        <v>-7.15000000000001</v>
      </c>
      <c r="I87" s="20">
        <f t="shared" si="41"/>
        <v>-6.54859999999999</v>
      </c>
      <c r="J87" s="20">
        <f t="shared" si="41"/>
        <v>-9.5129</v>
      </c>
      <c r="K87" s="20">
        <f t="shared" si="41"/>
        <v>-4.6641</v>
      </c>
      <c r="L87" s="20">
        <f t="shared" si="41"/>
        <v>-10.762</v>
      </c>
      <c r="M87" s="20">
        <f t="shared" si="41"/>
        <v>0.170100000000005</v>
      </c>
      <c r="N87" s="20">
        <f t="shared" si="41"/>
        <v>-0.373100000000008</v>
      </c>
      <c r="O87" s="20">
        <f t="shared" si="41"/>
        <v>2.36540000000001</v>
      </c>
      <c r="P87" s="20">
        <f t="shared" si="41"/>
        <v>-1.11930000000001</v>
      </c>
      <c r="Q87" s="20">
        <f t="shared" si="41"/>
        <v>-3.5359</v>
      </c>
      <c r="R87" s="20">
        <f t="shared" si="41"/>
        <v>-3.9691</v>
      </c>
      <c r="S87" s="20">
        <f t="shared" si="41"/>
        <v>-4.08329999999999</v>
      </c>
      <c r="T87" s="20">
        <f t="shared" si="41"/>
        <v>-4.8612</v>
      </c>
      <c r="U87" s="20">
        <f t="shared" si="41"/>
        <v>-3.8368</v>
      </c>
      <c r="V87" s="20">
        <f t="shared" si="41"/>
        <v>-7.62430000000001</v>
      </c>
      <c r="W87" s="20">
        <f t="shared" si="41"/>
        <v>-5.86620000000001</v>
      </c>
      <c r="X87" s="20">
        <f t="shared" si="41"/>
        <v>-3.37560000000001</v>
      </c>
      <c r="Y87" s="20">
        <f t="shared" si="41"/>
        <v>-2.8364</v>
      </c>
      <c r="Z87" s="20">
        <f t="shared" si="41"/>
        <v>-5.05470000000001</v>
      </c>
      <c r="AA87" s="20">
        <f t="shared" si="41"/>
        <v>-6.34479999999999</v>
      </c>
      <c r="AB87" s="22">
        <f t="shared" si="41"/>
        <v>-119.3817</v>
      </c>
    </row>
    <row r="88" s="1" customFormat="1" ht="20" hidden="1" customHeight="1" spans="1:28">
      <c r="A88" s="15">
        <v>46171</v>
      </c>
      <c r="B88" s="16">
        <v>4303121811816</v>
      </c>
      <c r="C88" s="17" t="s">
        <v>37</v>
      </c>
      <c r="D88" s="18">
        <v>106.55</v>
      </c>
      <c r="E88" s="18">
        <v>111.54</v>
      </c>
      <c r="F88" s="18">
        <v>110.89</v>
      </c>
      <c r="G88" s="18">
        <v>109.66</v>
      </c>
      <c r="H88" s="18">
        <v>109.71</v>
      </c>
      <c r="I88" s="18">
        <v>109.81</v>
      </c>
      <c r="J88" s="18">
        <v>109.33</v>
      </c>
      <c r="K88" s="18">
        <v>111.12</v>
      </c>
      <c r="L88" s="18">
        <v>115.88</v>
      </c>
      <c r="M88" s="18">
        <v>117.08</v>
      </c>
      <c r="N88" s="18">
        <v>115.43</v>
      </c>
      <c r="O88" s="18">
        <v>107.34</v>
      </c>
      <c r="P88" s="18">
        <v>111.85</v>
      </c>
      <c r="Q88" s="18">
        <v>113.62</v>
      </c>
      <c r="R88" s="18">
        <v>116.45</v>
      </c>
      <c r="S88" s="18">
        <v>113.21</v>
      </c>
      <c r="T88" s="18">
        <v>117.89</v>
      </c>
      <c r="U88" s="18">
        <v>109.28</v>
      </c>
      <c r="V88" s="18">
        <v>111.33</v>
      </c>
      <c r="W88" s="18">
        <v>113.48</v>
      </c>
      <c r="X88" s="18">
        <v>113.62</v>
      </c>
      <c r="Y88" s="18">
        <v>113.71</v>
      </c>
      <c r="Z88" s="18">
        <v>113.08</v>
      </c>
      <c r="AA88" s="18">
        <v>109.11</v>
      </c>
      <c r="AB88" s="22">
        <f t="shared" ref="AB88:AB92" si="42">SUM(D88:AA88)</f>
        <v>2690.97</v>
      </c>
    </row>
    <row r="89" s="1" customFormat="1" ht="20" customHeight="1" spans="1:29">
      <c r="A89" s="15"/>
      <c r="B89" s="16"/>
      <c r="C89" s="17" t="s">
        <v>38</v>
      </c>
      <c r="D89" s="19">
        <v>110.666</v>
      </c>
      <c r="E89" s="19">
        <v>111.3975</v>
      </c>
      <c r="F89" s="19">
        <v>111.6744</v>
      </c>
      <c r="G89" s="19">
        <v>112.7262</v>
      </c>
      <c r="H89" s="19">
        <v>111.5254</v>
      </c>
      <c r="I89" s="19">
        <v>109.8152</v>
      </c>
      <c r="J89" s="19">
        <v>107.4709</v>
      </c>
      <c r="K89" s="20">
        <v>109.4577</v>
      </c>
      <c r="L89" s="20">
        <v>116.4609</v>
      </c>
      <c r="M89" s="20">
        <v>117.4543</v>
      </c>
      <c r="N89" s="20">
        <v>109.7272</v>
      </c>
      <c r="O89" s="20">
        <v>108.3649</v>
      </c>
      <c r="P89" s="20">
        <v>112.119</v>
      </c>
      <c r="Q89" s="20">
        <v>112.9727</v>
      </c>
      <c r="R89" s="20">
        <v>113.7401</v>
      </c>
      <c r="S89" s="20">
        <v>117.318</v>
      </c>
      <c r="T89" s="20">
        <v>114.2873</v>
      </c>
      <c r="U89" s="20">
        <v>113.2613</v>
      </c>
      <c r="V89" s="20">
        <v>110.6125</v>
      </c>
      <c r="W89" s="20">
        <v>106.2971</v>
      </c>
      <c r="X89" s="20">
        <v>110.5438</v>
      </c>
      <c r="Y89" s="20">
        <v>111.0895</v>
      </c>
      <c r="Z89" s="20">
        <v>108.2699</v>
      </c>
      <c r="AA89" s="20">
        <v>105.4504</v>
      </c>
      <c r="AB89" s="22">
        <f t="shared" si="42"/>
        <v>2672.7022</v>
      </c>
      <c r="AC89" s="21">
        <f>MAX(D89:AA89)</f>
        <v>117.4543</v>
      </c>
    </row>
    <row r="90" s="1" customFormat="1" ht="20" hidden="1" customHeight="1" spans="1:28">
      <c r="A90" s="15"/>
      <c r="B90" s="16"/>
      <c r="C90" s="17" t="s">
        <v>39</v>
      </c>
      <c r="D90" s="20">
        <f t="shared" ref="D90:AB90" si="43">D88-D89</f>
        <v>-4.116</v>
      </c>
      <c r="E90" s="20">
        <f t="shared" si="43"/>
        <v>0.142500000000013</v>
      </c>
      <c r="F90" s="20">
        <f t="shared" si="43"/>
        <v>-0.784400000000005</v>
      </c>
      <c r="G90" s="20">
        <f t="shared" si="43"/>
        <v>-3.06620000000001</v>
      </c>
      <c r="H90" s="20">
        <f t="shared" si="43"/>
        <v>-1.81540000000001</v>
      </c>
      <c r="I90" s="20">
        <f t="shared" si="43"/>
        <v>-0.00520000000000209</v>
      </c>
      <c r="J90" s="20">
        <f t="shared" si="43"/>
        <v>1.8591</v>
      </c>
      <c r="K90" s="20">
        <f t="shared" si="43"/>
        <v>1.6623</v>
      </c>
      <c r="L90" s="20">
        <f t="shared" si="43"/>
        <v>-0.5809</v>
      </c>
      <c r="M90" s="20">
        <f t="shared" si="43"/>
        <v>-0.374300000000005</v>
      </c>
      <c r="N90" s="20">
        <f t="shared" si="43"/>
        <v>5.70280000000001</v>
      </c>
      <c r="O90" s="20">
        <f t="shared" si="43"/>
        <v>-1.0249</v>
      </c>
      <c r="P90" s="20">
        <f t="shared" si="43"/>
        <v>-0.269000000000005</v>
      </c>
      <c r="Q90" s="20">
        <f t="shared" si="43"/>
        <v>0.647300000000001</v>
      </c>
      <c r="R90" s="20">
        <f t="shared" si="43"/>
        <v>2.7099</v>
      </c>
      <c r="S90" s="20">
        <f t="shared" si="43"/>
        <v>-4.108</v>
      </c>
      <c r="T90" s="20">
        <f t="shared" si="43"/>
        <v>3.6027</v>
      </c>
      <c r="U90" s="20">
        <f t="shared" si="43"/>
        <v>-3.9813</v>
      </c>
      <c r="V90" s="20">
        <f t="shared" si="43"/>
        <v>0.717500000000001</v>
      </c>
      <c r="W90" s="20">
        <f t="shared" si="43"/>
        <v>7.1829</v>
      </c>
      <c r="X90" s="20">
        <f t="shared" si="43"/>
        <v>3.0762</v>
      </c>
      <c r="Y90" s="20">
        <f t="shared" si="43"/>
        <v>2.62049999999999</v>
      </c>
      <c r="Z90" s="20">
        <f t="shared" si="43"/>
        <v>4.81009999999999</v>
      </c>
      <c r="AA90" s="20">
        <f t="shared" si="43"/>
        <v>3.6596</v>
      </c>
      <c r="AB90" s="22">
        <f t="shared" si="43"/>
        <v>18.2678000000001</v>
      </c>
    </row>
    <row r="91" s="1" customFormat="1" ht="20" hidden="1" customHeight="1" spans="1:28">
      <c r="A91" s="15">
        <v>46172</v>
      </c>
      <c r="B91" s="16">
        <v>4303121811816</v>
      </c>
      <c r="C91" s="17" t="s">
        <v>37</v>
      </c>
      <c r="D91" s="18">
        <v>106.71</v>
      </c>
      <c r="E91" s="18">
        <v>111.56</v>
      </c>
      <c r="F91" s="18">
        <v>110.91</v>
      </c>
      <c r="G91" s="18">
        <v>109.72</v>
      </c>
      <c r="H91" s="18">
        <v>109.65</v>
      </c>
      <c r="I91" s="18">
        <v>109.71</v>
      </c>
      <c r="J91" s="18">
        <v>109.54</v>
      </c>
      <c r="K91" s="18">
        <v>111.21</v>
      </c>
      <c r="L91" s="18">
        <v>115.78</v>
      </c>
      <c r="M91" s="18">
        <v>117.11</v>
      </c>
      <c r="N91" s="18">
        <v>115.33</v>
      </c>
      <c r="O91" s="18">
        <v>107.28</v>
      </c>
      <c r="P91" s="18">
        <v>111.91</v>
      </c>
      <c r="Q91" s="18">
        <v>113.71</v>
      </c>
      <c r="R91" s="18">
        <v>116.58</v>
      </c>
      <c r="S91" s="18">
        <v>113.35</v>
      </c>
      <c r="T91" s="18">
        <v>117.92</v>
      </c>
      <c r="U91" s="18">
        <v>109.31</v>
      </c>
      <c r="V91" s="18">
        <v>111.43</v>
      </c>
      <c r="W91" s="18">
        <v>113.51</v>
      </c>
      <c r="X91" s="18">
        <v>113.58</v>
      </c>
      <c r="Y91" s="18">
        <v>113.66</v>
      </c>
      <c r="Z91" s="18">
        <v>103.12</v>
      </c>
      <c r="AA91" s="18">
        <v>108.99</v>
      </c>
      <c r="AB91" s="22">
        <f t="shared" si="42"/>
        <v>2681.58</v>
      </c>
    </row>
    <row r="92" s="1" customFormat="1" ht="20" customHeight="1" spans="1:29">
      <c r="A92" s="15"/>
      <c r="B92" s="16"/>
      <c r="C92" s="17" t="s">
        <v>38</v>
      </c>
      <c r="D92" s="19">
        <v>103.5989</v>
      </c>
      <c r="E92" s="19">
        <v>107.2174</v>
      </c>
      <c r="F92" s="19">
        <v>107.3988</v>
      </c>
      <c r="G92" s="19">
        <v>107.7102</v>
      </c>
      <c r="H92" s="19">
        <v>107.5587</v>
      </c>
      <c r="I92" s="19">
        <v>107.441</v>
      </c>
      <c r="J92" s="19">
        <v>104.7569</v>
      </c>
      <c r="K92" s="19">
        <v>104.747</v>
      </c>
      <c r="L92" s="19">
        <v>111.0858</v>
      </c>
      <c r="M92" s="19">
        <v>107.283</v>
      </c>
      <c r="N92" s="19">
        <v>110.4875</v>
      </c>
      <c r="O92" s="19">
        <v>103.3088</v>
      </c>
      <c r="P92" s="19">
        <v>104.3599</v>
      </c>
      <c r="Q92" s="19">
        <v>108.5397</v>
      </c>
      <c r="R92" s="19">
        <v>110.6441</v>
      </c>
      <c r="S92" s="19">
        <v>110.659</v>
      </c>
      <c r="T92" s="19">
        <v>111.3658</v>
      </c>
      <c r="U92" s="19">
        <v>108.6201</v>
      </c>
      <c r="V92" s="19">
        <v>104.2237</v>
      </c>
      <c r="W92" s="19">
        <v>103.3384</v>
      </c>
      <c r="X92" s="19">
        <v>106.4484</v>
      </c>
      <c r="Y92" s="19">
        <v>106.744</v>
      </c>
      <c r="Z92" s="19">
        <v>106.0312</v>
      </c>
      <c r="AA92" s="19">
        <v>102.249</v>
      </c>
      <c r="AB92" s="22">
        <f t="shared" si="42"/>
        <v>2565.8173</v>
      </c>
      <c r="AC92" s="21">
        <f>MAX(D92:AA92)</f>
        <v>111.3658</v>
      </c>
    </row>
    <row r="93" s="1" customFormat="1" ht="20" hidden="1" customHeight="1" spans="1:28">
      <c r="A93" s="15"/>
      <c r="B93" s="16"/>
      <c r="C93" s="17" t="s">
        <v>39</v>
      </c>
      <c r="D93" s="20">
        <f t="shared" ref="D93:AB93" si="44">D91-D92</f>
        <v>3.11109999999999</v>
      </c>
      <c r="E93" s="20">
        <f t="shared" si="44"/>
        <v>4.3426</v>
      </c>
      <c r="F93" s="20">
        <f t="shared" si="44"/>
        <v>3.5112</v>
      </c>
      <c r="G93" s="20">
        <f t="shared" si="44"/>
        <v>2.0098</v>
      </c>
      <c r="H93" s="20">
        <f t="shared" si="44"/>
        <v>2.0913</v>
      </c>
      <c r="I93" s="20">
        <f t="shared" si="44"/>
        <v>2.26899999999999</v>
      </c>
      <c r="J93" s="20">
        <f t="shared" si="44"/>
        <v>4.7831</v>
      </c>
      <c r="K93" s="20">
        <f t="shared" si="44"/>
        <v>6.46299999999999</v>
      </c>
      <c r="L93" s="20">
        <f t="shared" si="44"/>
        <v>4.6942</v>
      </c>
      <c r="M93" s="20">
        <f t="shared" si="44"/>
        <v>9.827</v>
      </c>
      <c r="N93" s="20">
        <f t="shared" si="44"/>
        <v>4.8425</v>
      </c>
      <c r="O93" s="20">
        <f t="shared" si="44"/>
        <v>3.9712</v>
      </c>
      <c r="P93" s="20">
        <f t="shared" si="44"/>
        <v>7.5501</v>
      </c>
      <c r="Q93" s="20">
        <f t="shared" si="44"/>
        <v>5.1703</v>
      </c>
      <c r="R93" s="20">
        <f t="shared" si="44"/>
        <v>5.9359</v>
      </c>
      <c r="S93" s="20">
        <f t="shared" si="44"/>
        <v>2.69099999999999</v>
      </c>
      <c r="T93" s="20">
        <f t="shared" si="44"/>
        <v>6.55420000000001</v>
      </c>
      <c r="U93" s="20">
        <f t="shared" si="44"/>
        <v>0.689900000000009</v>
      </c>
      <c r="V93" s="20">
        <f t="shared" si="44"/>
        <v>7.20630000000001</v>
      </c>
      <c r="W93" s="20">
        <f t="shared" si="44"/>
        <v>10.1716</v>
      </c>
      <c r="X93" s="20">
        <f t="shared" si="44"/>
        <v>7.13159999999999</v>
      </c>
      <c r="Y93" s="20">
        <f t="shared" si="44"/>
        <v>6.916</v>
      </c>
      <c r="Z93" s="20">
        <f t="shared" si="44"/>
        <v>-2.91119999999999</v>
      </c>
      <c r="AA93" s="20">
        <f t="shared" si="44"/>
        <v>6.741</v>
      </c>
      <c r="AB93" s="22">
        <f t="shared" si="44"/>
        <v>115.762699999999</v>
      </c>
    </row>
    <row r="94" s="1" customFormat="1" ht="20" hidden="1" customHeight="1" spans="1:28">
      <c r="A94" s="15">
        <v>46173</v>
      </c>
      <c r="B94" s="16">
        <v>4303121811816</v>
      </c>
      <c r="C94" s="17" t="s">
        <v>37</v>
      </c>
      <c r="D94" s="18">
        <v>110.65</v>
      </c>
      <c r="E94" s="18">
        <v>113.74</v>
      </c>
      <c r="F94" s="18">
        <v>113.62</v>
      </c>
      <c r="G94" s="18">
        <v>114.58</v>
      </c>
      <c r="H94" s="18">
        <v>114.98</v>
      </c>
      <c r="I94" s="18">
        <v>114.89</v>
      </c>
      <c r="J94" s="18">
        <v>111.62</v>
      </c>
      <c r="K94" s="18">
        <v>113.22</v>
      </c>
      <c r="L94" s="18">
        <v>121.78</v>
      </c>
      <c r="M94" s="18">
        <v>120.28</v>
      </c>
      <c r="N94" s="18">
        <v>119.98</v>
      </c>
      <c r="O94" s="18">
        <v>116.32</v>
      </c>
      <c r="P94" s="18">
        <v>117.22</v>
      </c>
      <c r="Q94" s="18">
        <v>120.11</v>
      </c>
      <c r="R94" s="18">
        <v>119.4</v>
      </c>
      <c r="S94" s="18">
        <v>120.68</v>
      </c>
      <c r="T94" s="18">
        <v>121.33</v>
      </c>
      <c r="U94" s="18">
        <v>119.68</v>
      </c>
      <c r="V94" s="18">
        <v>114.33</v>
      </c>
      <c r="W94" s="18">
        <v>117.11</v>
      </c>
      <c r="X94" s="18">
        <v>115.82</v>
      </c>
      <c r="Y94" s="18">
        <v>116.31</v>
      </c>
      <c r="Z94" s="18">
        <v>112.58</v>
      </c>
      <c r="AA94" s="18">
        <v>111.98</v>
      </c>
      <c r="AB94" s="22">
        <f>SUM(D94:AA94)</f>
        <v>2792.21</v>
      </c>
    </row>
    <row r="95" s="1" customFormat="1" ht="20" customHeight="1" spans="1:29">
      <c r="A95" s="15"/>
      <c r="B95" s="16"/>
      <c r="C95" s="17" t="s">
        <v>38</v>
      </c>
      <c r="D95" s="19">
        <v>100.4309</v>
      </c>
      <c r="E95" s="19">
        <v>103.7555</v>
      </c>
      <c r="F95" s="19">
        <v>103.4678</v>
      </c>
      <c r="G95" s="19">
        <v>103.1237</v>
      </c>
      <c r="H95" s="19">
        <v>101.342</v>
      </c>
      <c r="I95" s="19">
        <v>96.9989</v>
      </c>
      <c r="J95" s="19">
        <v>92.0357</v>
      </c>
      <c r="K95" s="20">
        <v>86.108</v>
      </c>
      <c r="L95" s="20">
        <v>83.6422</v>
      </c>
      <c r="M95" s="20">
        <v>80.4415</v>
      </c>
      <c r="N95" s="20">
        <v>78.2954</v>
      </c>
      <c r="O95" s="20">
        <v>74.3917</v>
      </c>
      <c r="P95" s="20">
        <v>74.6381</v>
      </c>
      <c r="Q95" s="20">
        <v>80.4443</v>
      </c>
      <c r="R95" s="20">
        <v>77.4734</v>
      </c>
      <c r="S95" s="20">
        <v>79.9116</v>
      </c>
      <c r="T95" s="20">
        <v>83.5807</v>
      </c>
      <c r="U95" s="20">
        <v>86.474</v>
      </c>
      <c r="V95" s="20">
        <v>83.5279</v>
      </c>
      <c r="W95" s="20">
        <v>82.1287</v>
      </c>
      <c r="X95" s="20">
        <v>85.9529</v>
      </c>
      <c r="Y95" s="20">
        <v>86.24</v>
      </c>
      <c r="Z95" s="20">
        <v>86.0798</v>
      </c>
      <c r="AA95" s="20">
        <v>83.1583</v>
      </c>
      <c r="AB95" s="22">
        <f>SUM(D95:AA95)</f>
        <v>2093.643</v>
      </c>
      <c r="AC95" s="21">
        <f>MAX(D95:AA95)</f>
        <v>103.7555</v>
      </c>
    </row>
    <row r="96" s="1" customFormat="1" ht="20" hidden="1" customHeight="1" spans="1:28">
      <c r="A96" s="15"/>
      <c r="B96" s="16"/>
      <c r="C96" s="17" t="s">
        <v>39</v>
      </c>
      <c r="D96" s="20">
        <f t="shared" ref="D96:AB96" si="45">D94-D95</f>
        <v>10.2191</v>
      </c>
      <c r="E96" s="20">
        <f t="shared" si="45"/>
        <v>9.9845</v>
      </c>
      <c r="F96" s="20">
        <f t="shared" si="45"/>
        <v>10.1522</v>
      </c>
      <c r="G96" s="20">
        <f t="shared" si="45"/>
        <v>11.4563</v>
      </c>
      <c r="H96" s="20">
        <f t="shared" si="45"/>
        <v>13.638</v>
      </c>
      <c r="I96" s="20">
        <f t="shared" si="45"/>
        <v>17.8911</v>
      </c>
      <c r="J96" s="20">
        <f t="shared" si="45"/>
        <v>19.5843</v>
      </c>
      <c r="K96" s="20">
        <f t="shared" si="45"/>
        <v>27.112</v>
      </c>
      <c r="L96" s="20">
        <f t="shared" si="45"/>
        <v>38.1378</v>
      </c>
      <c r="M96" s="20">
        <f t="shared" si="45"/>
        <v>39.8385</v>
      </c>
      <c r="N96" s="20">
        <f t="shared" si="45"/>
        <v>41.6846</v>
      </c>
      <c r="O96" s="20">
        <f t="shared" si="45"/>
        <v>41.9283</v>
      </c>
      <c r="P96" s="20">
        <f t="shared" si="45"/>
        <v>42.5819</v>
      </c>
      <c r="Q96" s="20">
        <f t="shared" si="45"/>
        <v>39.6657</v>
      </c>
      <c r="R96" s="20">
        <f t="shared" si="45"/>
        <v>41.9266</v>
      </c>
      <c r="S96" s="20">
        <f t="shared" si="45"/>
        <v>40.7684</v>
      </c>
      <c r="T96" s="20">
        <f t="shared" si="45"/>
        <v>37.7493</v>
      </c>
      <c r="U96" s="20">
        <f t="shared" si="45"/>
        <v>33.206</v>
      </c>
      <c r="V96" s="20">
        <f t="shared" si="45"/>
        <v>30.8021</v>
      </c>
      <c r="W96" s="20">
        <f t="shared" si="45"/>
        <v>34.9813</v>
      </c>
      <c r="X96" s="20">
        <f t="shared" si="45"/>
        <v>29.8671</v>
      </c>
      <c r="Y96" s="20">
        <f t="shared" si="45"/>
        <v>30.07</v>
      </c>
      <c r="Z96" s="20">
        <f t="shared" si="45"/>
        <v>26.5002</v>
      </c>
      <c r="AA96" s="20">
        <f t="shared" si="45"/>
        <v>28.8217</v>
      </c>
      <c r="AB96" s="22">
        <f t="shared" si="45"/>
        <v>698.567</v>
      </c>
    </row>
    <row r="97" s="1" customFormat="1" ht="20" customHeight="1" spans="1:29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C97" s="21"/>
    </row>
    <row r="98" s="1" customFormat="1" ht="20" customHeight="1" spans="1:29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C98" s="21"/>
    </row>
    <row r="99" s="1" customFormat="1" ht="20" customHeight="1" spans="1:29">
      <c r="A99" s="26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C99" s="21"/>
    </row>
    <row r="100" s="1" customFormat="1" ht="20" customHeight="1" spans="1:29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C100" s="21"/>
    </row>
    <row r="101" s="1" customFormat="1" ht="20" customHeight="1" spans="1:29">
      <c r="A101" s="26"/>
      <c r="B101" s="26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C101" s="21"/>
    </row>
    <row r="102" s="1" customFormat="1" ht="20" customHeight="1" spans="1:29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C102" s="21"/>
    </row>
    <row r="103" s="1" customFormat="1" ht="20" customHeight="1" spans="1:29">
      <c r="A103" s="26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C103" s="21"/>
    </row>
    <row r="104" s="1" customFormat="1" ht="20" customHeight="1" spans="1:29">
      <c r="A104" s="26"/>
      <c r="B104" s="28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C104" s="21"/>
    </row>
    <row r="105" s="1" customFormat="1" ht="14.25" spans="1:29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C105" s="21"/>
    </row>
    <row r="106" s="1" customFormat="1" ht="14.25" spans="1:29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C106" s="21"/>
    </row>
    <row r="107" s="1" customFormat="1" ht="20" customHeight="1" spans="1:29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C107" s="21"/>
    </row>
    <row r="108" s="1" customFormat="1" ht="20" customHeight="1" spans="1:29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C108" s="21"/>
    </row>
    <row r="109" s="1" customFormat="1" ht="20" customHeight="1" spans="1:29">
      <c r="A109" s="26"/>
      <c r="B109" s="26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C109" s="21"/>
    </row>
    <row r="110" s="1" customFormat="1" ht="20" customHeight="1" spans="1:29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C110" s="21"/>
    </row>
    <row r="111" s="1" customFormat="1" ht="20" customHeight="1" spans="1:29">
      <c r="A111" s="26"/>
      <c r="B111" s="26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C111" s="21"/>
    </row>
    <row r="112" s="1" customFormat="1" ht="20" customHeight="1" spans="1:29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C112" s="21"/>
    </row>
    <row r="113" s="1" customFormat="1" ht="20" customHeight="1" spans="1:29">
      <c r="A113" s="26"/>
      <c r="B113" s="26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C113" s="21"/>
    </row>
    <row r="114" s="1" customFormat="1" ht="20" customHeight="1" spans="1:29">
      <c r="A114" s="26"/>
      <c r="B114" s="28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C114" s="21"/>
    </row>
    <row r="115" s="1" customFormat="1" ht="14.25" spans="1:29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C115" s="21"/>
    </row>
    <row r="116" s="1" customFormat="1" ht="14.25" spans="1:29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C116" s="21"/>
    </row>
    <row r="117" s="1" customFormat="1" ht="20" customHeight="1" spans="1:29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C117" s="21"/>
    </row>
    <row r="118" s="1" customFormat="1" ht="20" customHeight="1" spans="1:29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C118" s="21"/>
    </row>
    <row r="119" s="1" customFormat="1" ht="20" customHeight="1" spans="1:29">
      <c r="A119" s="26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C119" s="21"/>
    </row>
    <row r="120" s="1" customFormat="1" ht="20" customHeight="1" spans="1:29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C120" s="21"/>
    </row>
    <row r="121" s="1" customFormat="1" ht="20" customHeight="1" spans="1:29">
      <c r="A121" s="26"/>
      <c r="B121" s="26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C121" s="21"/>
    </row>
    <row r="122" s="1" customFormat="1" ht="20" customHeight="1" spans="1:29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C122" s="21"/>
    </row>
    <row r="123" s="1" customFormat="1" ht="20" customHeight="1" spans="1:29">
      <c r="A123" s="26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C123" s="21"/>
    </row>
    <row r="124" s="1" customFormat="1" ht="20" customHeight="1" spans="1:29">
      <c r="A124" s="26"/>
      <c r="B124" s="28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C124" s="21"/>
    </row>
    <row r="125" s="1" customFormat="1" ht="14.25" spans="1:29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C125" s="21"/>
    </row>
    <row r="126" s="1" customFormat="1" ht="14.25" spans="1:29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C126" s="21"/>
    </row>
    <row r="127" s="1" customFormat="1" ht="20" customHeight="1" spans="1:29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C127" s="21"/>
    </row>
    <row r="128" s="1" customFormat="1" ht="20" customHeight="1" spans="1:29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C128" s="21"/>
    </row>
    <row r="129" s="1" customFormat="1" ht="20" customHeight="1" spans="1:29">
      <c r="A129" s="26"/>
      <c r="B129" s="26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C129" s="21"/>
    </row>
    <row r="130" s="1" customFormat="1" ht="20" customHeight="1" spans="1:29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C130" s="21"/>
    </row>
    <row r="131" s="1" customFormat="1" ht="20" customHeight="1" spans="1:29">
      <c r="A131" s="26"/>
      <c r="B131" s="26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C131" s="21"/>
    </row>
    <row r="132" s="1" customFormat="1" ht="20" customHeight="1" spans="1:29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C132" s="21"/>
    </row>
    <row r="133" s="1" customFormat="1" ht="20" customHeight="1" spans="1:29">
      <c r="A133" s="26"/>
      <c r="B133" s="26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C133" s="21"/>
    </row>
    <row r="134" s="1" customFormat="1" ht="20" customHeight="1" spans="1:29">
      <c r="A134" s="26"/>
      <c r="B134" s="28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C134" s="21"/>
    </row>
    <row r="135" s="1" customFormat="1" ht="14.25" spans="1:29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C135" s="21"/>
    </row>
    <row r="136" s="1" customFormat="1" ht="14.25" spans="1:29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C136" s="21"/>
    </row>
    <row r="137" s="1" customFormat="1" ht="20" customHeight="1" spans="1:29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C137" s="21"/>
    </row>
    <row r="138" s="1" customFormat="1" ht="20" customHeight="1" spans="1:29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C138" s="21"/>
    </row>
    <row r="139" s="1" customFormat="1" ht="20" customHeight="1" spans="1:29">
      <c r="A139" s="26"/>
      <c r="B139" s="26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C139" s="21"/>
    </row>
    <row r="140" s="1" customFormat="1" ht="20" customHeight="1" spans="1:29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C140" s="21"/>
    </row>
    <row r="141" s="1" customFormat="1" ht="20" customHeight="1" spans="1:29">
      <c r="A141" s="26"/>
      <c r="B141" s="26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C141" s="21"/>
    </row>
    <row r="142" s="1" customFormat="1" ht="20" customHeight="1" spans="1:29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C142" s="21"/>
    </row>
    <row r="143" s="1" customFormat="1" ht="20" customHeight="1" spans="1:29">
      <c r="A143" s="26"/>
      <c r="B143" s="26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C143" s="21"/>
    </row>
    <row r="144" s="1" customFormat="1" ht="20" customHeight="1" spans="1:29">
      <c r="A144" s="26"/>
      <c r="B144" s="28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C144" s="21"/>
    </row>
    <row r="145" s="1" customFormat="1" ht="14.25" spans="1:29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C145" s="21"/>
    </row>
    <row r="146" s="1" customFormat="1" ht="14.25" spans="1:29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C146" s="21"/>
    </row>
    <row r="147" s="1" customFormat="1" ht="20" customHeight="1" spans="1:29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C147" s="21"/>
    </row>
    <row r="148" s="1" customFormat="1" ht="20" customHeight="1" spans="1:29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C148" s="21"/>
    </row>
    <row r="149" s="1" customFormat="1" ht="20" customHeight="1" spans="1:29">
      <c r="A149" s="26"/>
      <c r="B149" s="26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C149" s="21"/>
    </row>
    <row r="150" s="1" customFormat="1" ht="20" customHeight="1" spans="1:29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C150" s="21"/>
    </row>
    <row r="151" s="1" customFormat="1" ht="20" customHeight="1" spans="1:29">
      <c r="A151" s="26"/>
      <c r="B151" s="26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C151" s="21"/>
    </row>
    <row r="152" s="1" customFormat="1" ht="20" customHeight="1" spans="1:29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C152" s="21"/>
    </row>
    <row r="153" s="1" customFormat="1" ht="20" customHeight="1" spans="1:29">
      <c r="A153" s="26"/>
      <c r="B153" s="26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C153" s="21"/>
    </row>
    <row r="154" s="1" customFormat="1" ht="20" customHeight="1" spans="1:29">
      <c r="A154" s="26"/>
      <c r="B154" s="28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C154" s="21"/>
    </row>
    <row r="155" s="1" customFormat="1" ht="14.25" spans="1:29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C155" s="21"/>
    </row>
    <row r="156" s="1" customFormat="1" ht="14.25" spans="1:29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C156" s="21"/>
    </row>
    <row r="157" s="1" customFormat="1" ht="20" customHeight="1" spans="1:29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C157" s="21"/>
    </row>
    <row r="158" s="1" customFormat="1" ht="20" customHeight="1" spans="1:29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C158" s="21"/>
    </row>
    <row r="159" s="1" customFormat="1" ht="20" customHeight="1" spans="1:29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C159" s="21"/>
    </row>
    <row r="160" s="1" customFormat="1" ht="20" customHeight="1" spans="1:29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C160" s="21"/>
    </row>
    <row r="161" s="1" customFormat="1" ht="20" customHeight="1" spans="1:29">
      <c r="A161" s="26"/>
      <c r="B161" s="26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C161" s="21"/>
    </row>
    <row r="162" s="1" customFormat="1" ht="20" customHeight="1" spans="1:29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C162" s="21"/>
    </row>
    <row r="163" s="1" customFormat="1" ht="20" customHeight="1" spans="1:29">
      <c r="A163" s="26"/>
      <c r="B163" s="26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C163" s="21"/>
    </row>
    <row r="164" s="1" customFormat="1" ht="20" customHeight="1" spans="1:29">
      <c r="A164" s="26"/>
      <c r="B164" s="28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C164" s="21"/>
    </row>
    <row r="165" s="1" customFormat="1" ht="14.25" spans="1:29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C165" s="21"/>
    </row>
    <row r="166" s="1" customFormat="1" ht="14.25" spans="1:29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C166" s="21"/>
    </row>
    <row r="167" s="1" customFormat="1" ht="20" customHeight="1" spans="1:29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C167" s="21"/>
    </row>
    <row r="168" s="1" customFormat="1" ht="20" customHeight="1" spans="1:29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C168" s="21"/>
    </row>
    <row r="169" s="1" customFormat="1" ht="20" customHeight="1" spans="1:29">
      <c r="A169" s="26"/>
      <c r="B169" s="26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C169" s="21"/>
    </row>
    <row r="170" s="1" customFormat="1" ht="20" customHeight="1" spans="1:29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C170" s="21"/>
    </row>
    <row r="171" s="1" customFormat="1" ht="20" customHeight="1" spans="1:29">
      <c r="A171" s="26"/>
      <c r="B171" s="26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C171" s="21"/>
    </row>
    <row r="172" s="1" customFormat="1" ht="20" customHeight="1" spans="1:29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C172" s="21"/>
    </row>
    <row r="173" s="1" customFormat="1" ht="20" customHeight="1" spans="1:29">
      <c r="A173" s="26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C173" s="21"/>
    </row>
    <row r="174" s="1" customFormat="1" ht="20" customHeight="1" spans="1:29">
      <c r="A174" s="26"/>
      <c r="B174" s="28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C174" s="21"/>
    </row>
    <row r="175" s="1" customFormat="1" ht="14.25" spans="1:29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C175" s="21"/>
    </row>
    <row r="176" s="1" customFormat="1" ht="14.25" spans="1:29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C176" s="21"/>
    </row>
    <row r="177" s="1" customFormat="1" ht="20" customHeight="1" spans="1:29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C177" s="21"/>
    </row>
    <row r="178" s="1" customFormat="1" ht="20" customHeight="1" spans="1:29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C178" s="21"/>
    </row>
    <row r="179" s="1" customFormat="1" ht="20" customHeight="1" spans="1:29">
      <c r="A179" s="26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C179" s="21"/>
    </row>
    <row r="180" s="1" customFormat="1" ht="20" customHeight="1" spans="1:29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C180" s="21"/>
    </row>
    <row r="181" s="1" customFormat="1" ht="20" customHeight="1" spans="1:29">
      <c r="A181" s="26"/>
      <c r="B181" s="26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C181" s="21"/>
    </row>
    <row r="182" s="1" customFormat="1" ht="20" customHeight="1" spans="1:29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C182" s="21"/>
    </row>
    <row r="183" s="1" customFormat="1" ht="20" customHeight="1" spans="1:29">
      <c r="A183" s="26"/>
      <c r="B183" s="26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C183" s="21"/>
    </row>
    <row r="184" s="1" customFormat="1" ht="20" customHeight="1" spans="1:29">
      <c r="A184" s="26"/>
      <c r="B184" s="28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C184" s="21"/>
    </row>
    <row r="185" s="1" customFormat="1" ht="14.25" spans="1:29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C185" s="21"/>
    </row>
    <row r="186" s="1" customFormat="1" ht="14.25" spans="1:29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C186" s="21"/>
    </row>
    <row r="187" s="1" customFormat="1" ht="20" customHeight="1" spans="1:29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C187" s="21"/>
    </row>
    <row r="188" s="1" customFormat="1" ht="20" customHeight="1" spans="1:29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C188" s="21"/>
    </row>
    <row r="189" s="1" customFormat="1" ht="20" customHeight="1" spans="1:29">
      <c r="A189" s="26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C189" s="21"/>
    </row>
    <row r="190" s="1" customFormat="1" ht="20" customHeight="1" spans="1:29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C190" s="21"/>
    </row>
    <row r="191" s="1" customFormat="1" ht="20" customHeight="1" spans="1:29">
      <c r="A191" s="26"/>
      <c r="B191" s="26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C191" s="21"/>
    </row>
    <row r="192" s="1" customFormat="1" ht="20" customHeight="1" spans="1:29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C192" s="21"/>
    </row>
    <row r="193" s="1" customFormat="1" ht="20" customHeight="1" spans="1:29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C193" s="21"/>
    </row>
    <row r="194" s="1" customFormat="1" ht="20" customHeight="1" spans="1:29">
      <c r="A194" s="26"/>
      <c r="B194" s="28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C194" s="21"/>
    </row>
    <row r="195" s="1" customFormat="1" ht="14.25" spans="1:29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C195" s="21"/>
    </row>
    <row r="196" s="1" customFormat="1" ht="14.25" spans="1:29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C196" s="21"/>
    </row>
    <row r="197" s="1" customFormat="1" ht="20" customHeight="1" spans="1:29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C197" s="21"/>
    </row>
    <row r="198" s="1" customFormat="1" ht="20" customHeight="1" spans="1:29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C198" s="21"/>
    </row>
    <row r="199" s="1" customFormat="1" ht="20" customHeight="1" spans="1:29">
      <c r="A199" s="26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C199" s="21"/>
    </row>
    <row r="200" s="1" customFormat="1" ht="20" customHeight="1" spans="1:29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C200" s="21"/>
    </row>
    <row r="201" s="1" customFormat="1" ht="20" customHeight="1" spans="1:29">
      <c r="A201" s="26"/>
      <c r="B201" s="26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C201" s="21"/>
    </row>
    <row r="202" s="1" customFormat="1" ht="20" customHeight="1" spans="1:29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C202" s="21"/>
    </row>
    <row r="203" s="1" customFormat="1" ht="20" customHeight="1" spans="1:29">
      <c r="A203" s="26"/>
      <c r="B203" s="26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C203" s="21"/>
    </row>
    <row r="204" s="1" customFormat="1" ht="20" customHeight="1" spans="1:29">
      <c r="A204" s="26"/>
      <c r="B204" s="28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C204" s="21"/>
    </row>
    <row r="205" s="1" customFormat="1" ht="14.25" spans="1:29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C205" s="21"/>
    </row>
    <row r="206" s="1" customFormat="1" ht="14.25" spans="1:29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C206" s="21"/>
    </row>
    <row r="207" s="1" customFormat="1" ht="20" customHeight="1" spans="1:29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C207" s="21"/>
    </row>
    <row r="208" s="1" customFormat="1" ht="20" customHeight="1" spans="1:29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C208" s="21"/>
    </row>
    <row r="209" s="1" customFormat="1" ht="20" customHeight="1" spans="1:29">
      <c r="A209" s="26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C209" s="21"/>
    </row>
    <row r="210" s="1" customFormat="1" ht="20" customHeight="1" spans="1:29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C210" s="21"/>
    </row>
    <row r="211" s="1" customFormat="1" ht="20" customHeight="1" spans="1:29">
      <c r="A211" s="26"/>
      <c r="B211" s="26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C211" s="21"/>
    </row>
    <row r="212" s="1" customFormat="1" ht="20" customHeight="1" spans="1:29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C212" s="21"/>
    </row>
    <row r="213" s="1" customFormat="1" ht="20" customHeight="1" spans="1:29">
      <c r="A213" s="26"/>
      <c r="B213" s="26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C213" s="21"/>
    </row>
    <row r="214" s="1" customFormat="1" ht="20" customHeight="1" spans="1:29">
      <c r="A214" s="26"/>
      <c r="B214" s="28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C214" s="21"/>
    </row>
    <row r="215" s="1" customFormat="1" ht="14.25" spans="1:29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C215" s="21"/>
    </row>
    <row r="216" s="1" customFormat="1" ht="14.25" spans="1:29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C216" s="21"/>
    </row>
    <row r="217" s="1" customFormat="1" ht="20" customHeight="1" spans="1:29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C217" s="21"/>
    </row>
    <row r="218" s="1" customFormat="1" ht="20" customHeight="1" spans="1:29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C218" s="21"/>
    </row>
    <row r="219" s="1" customFormat="1" ht="20" customHeight="1" spans="1:29">
      <c r="A219" s="26"/>
      <c r="B219" s="26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C219" s="21"/>
    </row>
    <row r="220" s="1" customFormat="1" ht="20" customHeight="1" spans="1:29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C220" s="21"/>
    </row>
    <row r="221" s="1" customFormat="1" ht="20" customHeight="1" spans="1:29">
      <c r="A221" s="26"/>
      <c r="B221" s="26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C221" s="21"/>
    </row>
    <row r="222" s="1" customFormat="1" ht="20" customHeight="1" spans="1:29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C222" s="21"/>
    </row>
    <row r="223" s="1" customFormat="1" ht="20" customHeight="1" spans="1:29">
      <c r="A223" s="26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C223" s="21"/>
    </row>
    <row r="224" s="1" customFormat="1" ht="20" customHeight="1" spans="1:29">
      <c r="A224" s="26"/>
      <c r="B224" s="28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C224" s="21"/>
    </row>
    <row r="225" s="1" customFormat="1" ht="14.25" spans="1:29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C225" s="21"/>
    </row>
    <row r="226" s="1" customFormat="1" ht="14.25" spans="1:29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C226" s="21"/>
    </row>
    <row r="227" s="1" customFormat="1" ht="20" customHeight="1" spans="1:29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C227" s="21"/>
    </row>
    <row r="228" s="1" customFormat="1" ht="20" customHeight="1" spans="1:29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C228" s="21"/>
    </row>
    <row r="229" s="1" customFormat="1" ht="20" customHeight="1" spans="1:29">
      <c r="A229" s="26"/>
      <c r="B229" s="26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C229" s="21"/>
    </row>
    <row r="230" s="1" customFormat="1" ht="20" customHeight="1" spans="1:29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C230" s="21"/>
    </row>
    <row r="231" s="1" customFormat="1" ht="20" customHeight="1" spans="1:29">
      <c r="A231" s="26"/>
      <c r="B231" s="26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C231" s="21"/>
    </row>
    <row r="232" s="1" customFormat="1" ht="20" customHeight="1" spans="1:29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C232" s="21"/>
    </row>
    <row r="233" s="1" customFormat="1" ht="20" customHeight="1" spans="1:29">
      <c r="A233" s="26"/>
      <c r="B233" s="26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C233" s="21"/>
    </row>
    <row r="234" s="1" customFormat="1" ht="20" customHeight="1" spans="1:29">
      <c r="A234" s="26"/>
      <c r="B234" s="28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C234" s="21"/>
    </row>
    <row r="235" s="1" customFormat="1" ht="14.25" spans="1:29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C235" s="21"/>
    </row>
    <row r="236" s="1" customFormat="1" ht="14.25" spans="1:29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C236" s="21"/>
    </row>
    <row r="237" s="1" customFormat="1" ht="20" customHeight="1" spans="1:29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C237" s="21"/>
    </row>
    <row r="238" s="1" customFormat="1" ht="20" customHeight="1" spans="1:29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C238" s="21"/>
    </row>
    <row r="239" s="1" customFormat="1" ht="20" customHeight="1" spans="1:29">
      <c r="A239" s="26"/>
      <c r="B239" s="26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C239" s="21"/>
    </row>
    <row r="240" s="1" customFormat="1" ht="20" customHeight="1" spans="1:29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C240" s="21"/>
    </row>
    <row r="241" s="1" customFormat="1" ht="20" customHeight="1" spans="1:29">
      <c r="A241" s="26"/>
      <c r="B241" s="26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C241" s="21"/>
    </row>
    <row r="242" s="1" customFormat="1" ht="20" customHeight="1" spans="1:29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C242" s="21"/>
    </row>
    <row r="243" s="1" customFormat="1" ht="20" customHeight="1" spans="1:29">
      <c r="A243" s="26"/>
      <c r="B243" s="26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C243" s="21"/>
    </row>
    <row r="244" s="1" customFormat="1" ht="20" customHeight="1" spans="1:29">
      <c r="A244" s="26"/>
      <c r="B244" s="28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C244" s="21"/>
    </row>
    <row r="245" s="1" customFormat="1" ht="14.25" spans="1:29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C245" s="21"/>
    </row>
    <row r="246" s="1" customFormat="1" ht="14.25" spans="1:29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C246" s="21"/>
    </row>
    <row r="247" s="1" customFormat="1" ht="20" customHeight="1" spans="1:29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C247" s="21"/>
    </row>
    <row r="248" s="1" customFormat="1" ht="20" customHeight="1" spans="1:29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C248" s="21"/>
    </row>
    <row r="249" s="1" customFormat="1" ht="20" customHeight="1" spans="1:29">
      <c r="A249" s="26"/>
      <c r="B249" s="26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C249" s="21"/>
    </row>
    <row r="250" s="1" customFormat="1" ht="20" customHeight="1" spans="1:29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C250" s="21"/>
    </row>
    <row r="251" s="1" customFormat="1" ht="20" customHeight="1" spans="1:29">
      <c r="A251" s="26"/>
      <c r="B251" s="26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C251" s="21"/>
    </row>
    <row r="252" s="1" customFormat="1" ht="20" customHeight="1" spans="1:29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C252" s="21"/>
    </row>
    <row r="253" s="1" customFormat="1" ht="20" customHeight="1" spans="1:29">
      <c r="A253" s="26"/>
      <c r="B253" s="26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C253" s="21"/>
    </row>
    <row r="254" s="1" customFormat="1" ht="20" customHeight="1" spans="1:29">
      <c r="A254" s="26"/>
      <c r="B254" s="28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C254" s="21"/>
    </row>
    <row r="255" s="1" customFormat="1" ht="14.25" spans="1:29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C255" s="21"/>
    </row>
    <row r="256" s="1" customFormat="1" ht="14.25" spans="1:29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C256" s="21"/>
    </row>
    <row r="257" s="1" customFormat="1" ht="20" customHeight="1" spans="1:29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C257" s="21"/>
    </row>
    <row r="258" s="1" customFormat="1" ht="20" customHeight="1" spans="1:29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C258" s="21"/>
    </row>
    <row r="259" s="1" customFormat="1" ht="20" customHeight="1" spans="1:29">
      <c r="A259" s="26"/>
      <c r="B259" s="26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C259" s="21"/>
    </row>
    <row r="260" s="1" customFormat="1" ht="20" customHeight="1" spans="1:29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C260" s="21"/>
    </row>
    <row r="261" s="1" customFormat="1" ht="20" customHeight="1" spans="1:29">
      <c r="A261" s="26"/>
      <c r="B261" s="26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C261" s="21"/>
    </row>
    <row r="262" s="1" customFormat="1" ht="20" customHeight="1" spans="1:29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C262" s="21"/>
    </row>
    <row r="263" s="1" customFormat="1" ht="20" customHeight="1" spans="1:29">
      <c r="A263" s="26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C263" s="21"/>
    </row>
    <row r="264" s="1" customFormat="1" ht="20" customHeight="1" spans="1:29">
      <c r="A264" s="26"/>
      <c r="B264" s="28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C264" s="21"/>
    </row>
    <row r="265" s="1" customFormat="1" ht="14.25" spans="1:29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C265" s="21"/>
    </row>
    <row r="266" s="1" customFormat="1" ht="14.25" spans="1:29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C266" s="21"/>
    </row>
    <row r="267" s="1" customFormat="1" ht="20" customHeight="1" spans="1:29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C267" s="21"/>
    </row>
    <row r="268" s="1" customFormat="1" ht="20" customHeight="1" spans="1:29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C268" s="21"/>
    </row>
    <row r="269" s="1" customFormat="1" ht="20" customHeight="1" spans="1:29">
      <c r="A269" s="26"/>
      <c r="B269" s="26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C269" s="21"/>
    </row>
    <row r="270" s="1" customFormat="1" ht="20" customHeight="1" spans="1:29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C270" s="21"/>
    </row>
    <row r="271" s="1" customFormat="1" ht="20" customHeight="1" spans="1:29">
      <c r="A271" s="26"/>
      <c r="B271" s="26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C271" s="21"/>
    </row>
    <row r="272" s="1" customFormat="1" ht="20" customHeight="1" spans="1:29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C272" s="21"/>
    </row>
    <row r="273" s="1" customFormat="1" ht="20" customHeight="1" spans="1:29">
      <c r="A273" s="26"/>
      <c r="B273" s="26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C273" s="21"/>
    </row>
    <row r="274" s="1" customFormat="1" ht="20" customHeight="1" spans="1:29">
      <c r="A274" s="26"/>
      <c r="B274" s="28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C274" s="21"/>
    </row>
    <row r="275" s="1" customFormat="1" ht="14.25" spans="1:29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C275" s="21"/>
    </row>
    <row r="276" s="1" customFormat="1" ht="14.25" spans="1:29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C276" s="21"/>
    </row>
    <row r="277" s="1" customFormat="1" ht="20" customHeight="1" spans="1:29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C277" s="21"/>
    </row>
    <row r="278" s="1" customFormat="1" ht="20" customHeight="1" spans="1:29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C278" s="21"/>
    </row>
    <row r="279" s="1" customFormat="1" ht="20" customHeight="1" spans="1:29">
      <c r="A279" s="26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C279" s="21"/>
    </row>
    <row r="280" s="1" customFormat="1" ht="20" customHeight="1" spans="1:29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C280" s="21"/>
    </row>
    <row r="281" s="1" customFormat="1" ht="20" customHeight="1" spans="1:29">
      <c r="A281" s="26"/>
      <c r="B281" s="26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C281" s="21"/>
    </row>
    <row r="282" s="1" customFormat="1" ht="20" customHeight="1" spans="1:29">
      <c r="A282" s="26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C282" s="21"/>
    </row>
    <row r="283" s="1" customFormat="1" ht="20" customHeight="1" spans="1:29">
      <c r="A283" s="26"/>
      <c r="B283" s="26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C283" s="21"/>
    </row>
    <row r="284" s="1" customFormat="1" ht="20" customHeight="1" spans="1:29">
      <c r="A284" s="26"/>
      <c r="B284" s="28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C284" s="21"/>
    </row>
    <row r="285" s="1" customFormat="1" ht="14.25" spans="1:29">
      <c r="A285" s="26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C285" s="21"/>
    </row>
    <row r="286" s="1" customFormat="1" ht="14.25" spans="1:29">
      <c r="A286" s="26"/>
      <c r="B286" s="26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C286" s="21"/>
    </row>
    <row r="287" s="1" customFormat="1" ht="20" customHeight="1" spans="1:29">
      <c r="A287" s="26"/>
      <c r="B287" s="26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C287" s="21"/>
    </row>
    <row r="288" s="1" customFormat="1" ht="20" customHeight="1" spans="1:29">
      <c r="A288" s="26"/>
      <c r="B288" s="26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C288" s="21"/>
    </row>
    <row r="289" s="1" customFormat="1" ht="20" customHeight="1" spans="1:29">
      <c r="A289" s="26"/>
      <c r="B289" s="26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C289" s="21"/>
    </row>
    <row r="290" s="1" customFormat="1" ht="20" customHeight="1" spans="1:29">
      <c r="A290" s="26"/>
      <c r="B290" s="26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C290" s="21"/>
    </row>
    <row r="291" s="1" customFormat="1" ht="20" customHeight="1" spans="1:29">
      <c r="A291" s="26"/>
      <c r="B291" s="26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C291" s="21"/>
    </row>
    <row r="292" s="1" customFormat="1" ht="20" customHeight="1" spans="1:29">
      <c r="A292" s="26"/>
      <c r="B292" s="26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C292" s="21"/>
    </row>
    <row r="293" s="1" customFormat="1" ht="20" customHeight="1" spans="1:29">
      <c r="A293" s="26"/>
      <c r="B293" s="26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C293" s="21"/>
    </row>
    <row r="294" s="1" customFormat="1" ht="20" customHeight="1" spans="1:29">
      <c r="A294" s="26"/>
      <c r="B294" s="28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C294" s="21"/>
    </row>
    <row r="295" s="1" customFormat="1" ht="14.25" spans="1:29">
      <c r="A295" s="26"/>
      <c r="B295" s="26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C295" s="21"/>
    </row>
    <row r="296" s="1" customFormat="1" ht="14.25" spans="1:29">
      <c r="A296" s="26"/>
      <c r="B296" s="26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C296" s="21"/>
    </row>
  </sheetData>
  <autoFilter ref="A3:XFD96">
    <filterColumn colId="2">
      <customFilters>
        <customFilter operator="equal" val="实际"/>
      </customFilters>
    </filterColumn>
  </autoFilter>
  <mergeCells count="63">
    <mergeCell ref="A1:AB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</mergeCells>
  <pageMargins left="0.75" right="0.75" top="1" bottom="1" header="0.5" footer="0.5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XFC293"/>
  <sheetViews>
    <sheetView tabSelected="1" zoomScale="70" zoomScaleNormal="70" workbookViewId="0">
      <pane xSplit="3" ySplit="3" topLeftCell="E5" activePane="bottomRight" state="frozen"/>
      <selection/>
      <selection pane="topRight"/>
      <selection pane="bottomLeft"/>
      <selection pane="bottomRight" activeCell="AC3" sqref="AC3"/>
    </sheetView>
  </sheetViews>
  <sheetFormatPr defaultColWidth="9" defaultRowHeight="13.5"/>
  <cols>
    <col min="1" max="1" width="11.375" style="3" customWidth="1"/>
    <col min="2" max="2" width="17.25" style="4" customWidth="1"/>
    <col min="3" max="3" width="15" style="4" customWidth="1"/>
    <col min="4" max="4" width="9.375" style="5"/>
    <col min="5" max="20" width="9" style="5" customWidth="1"/>
    <col min="21" max="21" width="10.375" style="5" customWidth="1"/>
    <col min="22" max="26" width="9" style="5" customWidth="1"/>
    <col min="27" max="27" width="9" style="5"/>
    <col min="28" max="28" width="10.375" style="4"/>
    <col min="29" max="29" width="12.625" style="6"/>
    <col min="30" max="30" width="9" style="4"/>
    <col min="31" max="33" width="9.375" style="4"/>
    <col min="34" max="16384" width="9" style="4"/>
  </cols>
  <sheetData>
    <row r="1" customFormat="1" ht="70" customHeight="1" spans="1:16383">
      <c r="A1" s="7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6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customFormat="1" ht="18.75" spans="1:16383">
      <c r="A2" s="3"/>
      <c r="B2" s="4"/>
      <c r="C2" s="4"/>
      <c r="D2" s="5"/>
      <c r="E2" s="9" t="s">
        <v>40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4"/>
      <c r="AC2" s="6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</row>
    <row r="3" s="1" customFormat="1" ht="20" customHeight="1" spans="1:29">
      <c r="A3" s="10" t="s">
        <v>10</v>
      </c>
      <c r="B3" s="11" t="s">
        <v>11</v>
      </c>
      <c r="C3" s="12" t="s">
        <v>12</v>
      </c>
      <c r="D3" s="13" t="s">
        <v>13</v>
      </c>
      <c r="E3" s="14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20</v>
      </c>
      <c r="L3" s="14" t="s">
        <v>21</v>
      </c>
      <c r="M3" s="14" t="s">
        <v>22</v>
      </c>
      <c r="N3" s="14" t="s">
        <v>23</v>
      </c>
      <c r="O3" s="14" t="s">
        <v>24</v>
      </c>
      <c r="P3" s="14" t="s">
        <v>25</v>
      </c>
      <c r="Q3" s="14" t="s">
        <v>26</v>
      </c>
      <c r="R3" s="14" t="s">
        <v>27</v>
      </c>
      <c r="S3" s="14" t="s">
        <v>28</v>
      </c>
      <c r="T3" s="14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4" t="s">
        <v>35</v>
      </c>
      <c r="AA3" s="14" t="s">
        <v>36</v>
      </c>
      <c r="AC3" s="21" t="s">
        <v>3</v>
      </c>
    </row>
    <row r="4" s="1" customFormat="1" ht="20" hidden="1" customHeight="1" spans="1:28">
      <c r="A4" s="15">
        <v>46174</v>
      </c>
      <c r="B4" s="16">
        <v>4303121811816</v>
      </c>
      <c r="C4" s="17" t="s">
        <v>37</v>
      </c>
      <c r="D4" s="18">
        <v>98.2678</v>
      </c>
      <c r="E4" s="18">
        <v>102.3545</v>
      </c>
      <c r="F4" s="18">
        <v>104.2008</v>
      </c>
      <c r="G4" s="18">
        <v>104.0512</v>
      </c>
      <c r="H4" s="18">
        <v>104.5141</v>
      </c>
      <c r="I4" s="18">
        <v>100.7864</v>
      </c>
      <c r="J4" s="18">
        <v>100.9342</v>
      </c>
      <c r="K4" s="18">
        <v>102.2414</v>
      </c>
      <c r="L4" s="18">
        <v>114.21</v>
      </c>
      <c r="M4" s="18">
        <v>113.3136</v>
      </c>
      <c r="N4" s="18">
        <v>114.4391</v>
      </c>
      <c r="O4" s="18">
        <v>108.5463</v>
      </c>
      <c r="P4" s="18">
        <v>109.2313</v>
      </c>
      <c r="Q4" s="18">
        <v>111.1587</v>
      </c>
      <c r="R4" s="18">
        <v>119.5608</v>
      </c>
      <c r="S4" s="18">
        <v>120.8873</v>
      </c>
      <c r="T4" s="18">
        <v>121.2282</v>
      </c>
      <c r="U4" s="18">
        <v>120.8216</v>
      </c>
      <c r="V4" s="18">
        <v>119.5467</v>
      </c>
      <c r="W4" s="18">
        <v>114.2869</v>
      </c>
      <c r="X4" s="18">
        <v>117.0628</v>
      </c>
      <c r="Y4" s="18">
        <v>115.8238</v>
      </c>
      <c r="Z4" s="18">
        <v>116.1881</v>
      </c>
      <c r="AA4" s="18">
        <v>112.5503</v>
      </c>
      <c r="AB4" s="22">
        <f t="shared" ref="AB4:AB8" si="0">SUM(D4:AA4)</f>
        <v>2666.2059</v>
      </c>
    </row>
    <row r="5" s="1" customFormat="1" ht="20" customHeight="1" spans="1:29">
      <c r="A5" s="15"/>
      <c r="B5" s="16"/>
      <c r="C5" s="17" t="s">
        <v>38</v>
      </c>
      <c r="D5" s="19">
        <v>85.353</v>
      </c>
      <c r="E5" s="19">
        <v>88.6477</v>
      </c>
      <c r="F5" s="19">
        <v>87.8381</v>
      </c>
      <c r="G5" s="19">
        <v>88.1923</v>
      </c>
      <c r="H5" s="19">
        <v>90.1982</v>
      </c>
      <c r="I5" s="19">
        <v>89.5676</v>
      </c>
      <c r="J5" s="19">
        <v>87.7817</v>
      </c>
      <c r="K5" s="19">
        <v>93.2508</v>
      </c>
      <c r="L5" s="19">
        <v>111.4717</v>
      </c>
      <c r="M5" s="19">
        <v>114.3912</v>
      </c>
      <c r="N5" s="19">
        <v>106.8795</v>
      </c>
      <c r="O5" s="19">
        <v>106.5152</v>
      </c>
      <c r="P5" s="19">
        <v>100.4538</v>
      </c>
      <c r="Q5" s="19">
        <v>105.1319</v>
      </c>
      <c r="R5" s="19">
        <v>110.555</v>
      </c>
      <c r="S5" s="19">
        <v>113.036</v>
      </c>
      <c r="T5" s="19">
        <v>116.6669</v>
      </c>
      <c r="U5" s="19">
        <v>118.5782</v>
      </c>
      <c r="V5" s="19">
        <v>111.8832</v>
      </c>
      <c r="W5" s="19">
        <v>108.7205</v>
      </c>
      <c r="X5" s="19">
        <v>112.3373</v>
      </c>
      <c r="Y5" s="19">
        <v>109.4913</v>
      </c>
      <c r="Z5" s="19">
        <v>110.1109</v>
      </c>
      <c r="AA5" s="19">
        <v>104.7324</v>
      </c>
      <c r="AB5" s="22">
        <f t="shared" si="0"/>
        <v>2471.7844</v>
      </c>
      <c r="AC5" s="21">
        <f>MAX(D5:AA5)</f>
        <v>118.5782</v>
      </c>
    </row>
    <row r="6" s="1" customFormat="1" ht="20" hidden="1" customHeight="1" spans="1:29">
      <c r="A6" s="15"/>
      <c r="B6" s="16"/>
      <c r="C6" s="17" t="s">
        <v>39</v>
      </c>
      <c r="D6" s="20">
        <f t="shared" ref="D6:AB6" si="1">D4-D5</f>
        <v>12.9148</v>
      </c>
      <c r="E6" s="20">
        <f t="shared" si="1"/>
        <v>13.7068</v>
      </c>
      <c r="F6" s="20">
        <f t="shared" si="1"/>
        <v>16.3627</v>
      </c>
      <c r="G6" s="20">
        <f t="shared" si="1"/>
        <v>15.8589</v>
      </c>
      <c r="H6" s="20">
        <f t="shared" si="1"/>
        <v>14.3159</v>
      </c>
      <c r="I6" s="20">
        <f t="shared" si="1"/>
        <v>11.2188</v>
      </c>
      <c r="J6" s="20">
        <f t="shared" si="1"/>
        <v>13.1525</v>
      </c>
      <c r="K6" s="20">
        <f t="shared" si="1"/>
        <v>8.9906</v>
      </c>
      <c r="L6" s="20">
        <f t="shared" si="1"/>
        <v>2.7383</v>
      </c>
      <c r="M6" s="20">
        <f t="shared" si="1"/>
        <v>-1.0776</v>
      </c>
      <c r="N6" s="20">
        <f t="shared" si="1"/>
        <v>7.5596</v>
      </c>
      <c r="O6" s="20">
        <f t="shared" si="1"/>
        <v>2.03110000000001</v>
      </c>
      <c r="P6" s="20">
        <f t="shared" si="1"/>
        <v>8.7775</v>
      </c>
      <c r="Q6" s="20">
        <f t="shared" si="1"/>
        <v>6.02679999999999</v>
      </c>
      <c r="R6" s="20">
        <f t="shared" si="1"/>
        <v>9.00579999999999</v>
      </c>
      <c r="S6" s="20">
        <f t="shared" si="1"/>
        <v>7.85129999999999</v>
      </c>
      <c r="T6" s="20">
        <f t="shared" si="1"/>
        <v>4.5613</v>
      </c>
      <c r="U6" s="20">
        <f t="shared" si="1"/>
        <v>2.24340000000001</v>
      </c>
      <c r="V6" s="20">
        <f t="shared" si="1"/>
        <v>7.6635</v>
      </c>
      <c r="W6" s="20">
        <f t="shared" si="1"/>
        <v>5.5664</v>
      </c>
      <c r="X6" s="20">
        <f t="shared" si="1"/>
        <v>4.7255</v>
      </c>
      <c r="Y6" s="20">
        <f t="shared" si="1"/>
        <v>6.33250000000001</v>
      </c>
      <c r="Z6" s="20">
        <f t="shared" si="1"/>
        <v>6.0772</v>
      </c>
      <c r="AA6" s="20">
        <f t="shared" si="1"/>
        <v>7.81789999999999</v>
      </c>
      <c r="AB6" s="23">
        <f t="shared" si="1"/>
        <v>194.4215</v>
      </c>
      <c r="AC6" s="24">
        <f>AB6/AB4</f>
        <v>0.0729206622789335</v>
      </c>
    </row>
    <row r="7" s="1" customFormat="1" ht="20" hidden="1" customHeight="1" spans="1:28">
      <c r="A7" s="15">
        <v>46175</v>
      </c>
      <c r="B7" s="16">
        <v>4303121811816</v>
      </c>
      <c r="C7" s="17" t="s">
        <v>37</v>
      </c>
      <c r="D7" s="18">
        <v>111.4978</v>
      </c>
      <c r="E7" s="18">
        <v>114.8647</v>
      </c>
      <c r="F7" s="18">
        <v>114.9401</v>
      </c>
      <c r="G7" s="18">
        <v>115.9012</v>
      </c>
      <c r="H7" s="18">
        <v>115.0618</v>
      </c>
      <c r="I7" s="18">
        <v>115.148</v>
      </c>
      <c r="J7" s="18">
        <v>111.5752</v>
      </c>
      <c r="K7" s="18">
        <v>113.117</v>
      </c>
      <c r="L7" s="18">
        <v>121.9768</v>
      </c>
      <c r="M7" s="18">
        <v>120.3241</v>
      </c>
      <c r="N7" s="18">
        <v>119.6624</v>
      </c>
      <c r="O7" s="18">
        <v>110.84</v>
      </c>
      <c r="P7" s="18">
        <v>112.9956</v>
      </c>
      <c r="Q7" s="18">
        <v>117.8091</v>
      </c>
      <c r="R7" s="18">
        <v>117.9059</v>
      </c>
      <c r="S7" s="18">
        <v>122.3658</v>
      </c>
      <c r="T7" s="18">
        <v>122.922</v>
      </c>
      <c r="U7" s="18">
        <v>121.8888</v>
      </c>
      <c r="V7" s="18">
        <v>117.4237</v>
      </c>
      <c r="W7" s="18">
        <v>114.5672</v>
      </c>
      <c r="X7" s="18">
        <v>116.9802</v>
      </c>
      <c r="Y7" s="18">
        <v>116.8482</v>
      </c>
      <c r="Z7" s="18">
        <v>117.5698</v>
      </c>
      <c r="AA7" s="18">
        <v>111.8615</v>
      </c>
      <c r="AB7" s="22">
        <f t="shared" si="0"/>
        <v>2796.0469</v>
      </c>
    </row>
    <row r="8" s="1" customFormat="1" ht="20" customHeight="1" spans="1:29">
      <c r="A8" s="15"/>
      <c r="B8" s="16"/>
      <c r="C8" s="17" t="s">
        <v>38</v>
      </c>
      <c r="D8" s="20">
        <v>104.5951</v>
      </c>
      <c r="E8" s="20">
        <v>111.0332</v>
      </c>
      <c r="F8" s="20">
        <v>111.042</v>
      </c>
      <c r="G8" s="20">
        <v>109.5547</v>
      </c>
      <c r="H8" s="20">
        <v>109.1125</v>
      </c>
      <c r="I8" s="20">
        <v>107.4198</v>
      </c>
      <c r="J8" s="20">
        <v>105.5332</v>
      </c>
      <c r="K8" s="20">
        <v>102.9166</v>
      </c>
      <c r="L8" s="20">
        <v>111.5795</v>
      </c>
      <c r="M8" s="20">
        <v>110.7727</v>
      </c>
      <c r="N8" s="20">
        <v>110.6934</v>
      </c>
      <c r="O8" s="20">
        <v>111.114</v>
      </c>
      <c r="P8" s="20">
        <v>103.8435</v>
      </c>
      <c r="Q8" s="20">
        <v>108.3984</v>
      </c>
      <c r="R8" s="20">
        <v>114.4317</v>
      </c>
      <c r="S8" s="20">
        <v>115.0195</v>
      </c>
      <c r="T8" s="20">
        <v>119.3755</v>
      </c>
      <c r="U8" s="20">
        <v>116.4154</v>
      </c>
      <c r="V8" s="20">
        <v>112.4605</v>
      </c>
      <c r="W8" s="20">
        <v>113.6256</v>
      </c>
      <c r="X8" s="20">
        <v>117.8144</v>
      </c>
      <c r="Y8" s="20">
        <v>115.7746</v>
      </c>
      <c r="Z8" s="20">
        <v>115.0143</v>
      </c>
      <c r="AA8" s="20">
        <v>110.0739</v>
      </c>
      <c r="AB8" s="22">
        <f t="shared" si="0"/>
        <v>2667.614</v>
      </c>
      <c r="AC8" s="21">
        <f>MAX(D8:AA8)</f>
        <v>119.3755</v>
      </c>
    </row>
    <row r="9" s="1" customFormat="1" ht="20" hidden="1" customHeight="1" spans="1:29">
      <c r="A9" s="15"/>
      <c r="B9" s="16"/>
      <c r="C9" s="17" t="s">
        <v>39</v>
      </c>
      <c r="D9" s="20">
        <f t="shared" ref="D9:AB9" si="2">D7-D8</f>
        <v>6.9027</v>
      </c>
      <c r="E9" s="20">
        <f t="shared" si="2"/>
        <v>3.83150000000001</v>
      </c>
      <c r="F9" s="20">
        <f t="shared" si="2"/>
        <v>3.8981</v>
      </c>
      <c r="G9" s="20">
        <f t="shared" si="2"/>
        <v>6.34650000000001</v>
      </c>
      <c r="H9" s="20">
        <f t="shared" si="2"/>
        <v>5.94930000000001</v>
      </c>
      <c r="I9" s="20">
        <f t="shared" si="2"/>
        <v>7.7282</v>
      </c>
      <c r="J9" s="20">
        <f t="shared" si="2"/>
        <v>6.042</v>
      </c>
      <c r="K9" s="20">
        <f t="shared" si="2"/>
        <v>10.2004</v>
      </c>
      <c r="L9" s="20">
        <f t="shared" si="2"/>
        <v>10.3973</v>
      </c>
      <c r="M9" s="20">
        <f t="shared" si="2"/>
        <v>9.5514</v>
      </c>
      <c r="N9" s="20">
        <f t="shared" si="2"/>
        <v>8.96900000000001</v>
      </c>
      <c r="O9" s="20">
        <f t="shared" si="2"/>
        <v>-0.274000000000001</v>
      </c>
      <c r="P9" s="20">
        <f t="shared" si="2"/>
        <v>9.15209999999999</v>
      </c>
      <c r="Q9" s="20">
        <f t="shared" si="2"/>
        <v>9.41070000000001</v>
      </c>
      <c r="R9" s="20">
        <f t="shared" si="2"/>
        <v>3.4742</v>
      </c>
      <c r="S9" s="20">
        <f t="shared" si="2"/>
        <v>7.3463</v>
      </c>
      <c r="T9" s="20">
        <f t="shared" si="2"/>
        <v>3.54649999999999</v>
      </c>
      <c r="U9" s="20">
        <f t="shared" si="2"/>
        <v>5.4734</v>
      </c>
      <c r="V9" s="20">
        <f t="shared" si="2"/>
        <v>4.9632</v>
      </c>
      <c r="W9" s="20">
        <f t="shared" si="2"/>
        <v>0.941599999999994</v>
      </c>
      <c r="X9" s="20">
        <f t="shared" si="2"/>
        <v>-0.83420000000001</v>
      </c>
      <c r="Y9" s="20">
        <f t="shared" si="2"/>
        <v>1.0736</v>
      </c>
      <c r="Z9" s="20">
        <f t="shared" si="2"/>
        <v>2.55549999999999</v>
      </c>
      <c r="AA9" s="20">
        <f t="shared" si="2"/>
        <v>1.78760000000001</v>
      </c>
      <c r="AB9" s="23">
        <f t="shared" si="2"/>
        <v>128.4329</v>
      </c>
      <c r="AC9" s="24">
        <f>AB9/AB7</f>
        <v>0.0459337430999458</v>
      </c>
    </row>
    <row r="10" s="1" customFormat="1" ht="20" hidden="1" customHeight="1" spans="1:28">
      <c r="A10" s="15">
        <v>46176</v>
      </c>
      <c r="B10" s="16">
        <v>4303121811816</v>
      </c>
      <c r="C10" s="17" t="s">
        <v>37</v>
      </c>
      <c r="D10" s="18">
        <v>110.6829</v>
      </c>
      <c r="E10" s="18">
        <v>114.2433</v>
      </c>
      <c r="F10" s="18">
        <v>114.0287</v>
      </c>
      <c r="G10" s="18">
        <v>115.4331</v>
      </c>
      <c r="H10" s="18">
        <v>114.9619</v>
      </c>
      <c r="I10" s="18">
        <v>114.6605</v>
      </c>
      <c r="J10" s="18">
        <v>110.9081</v>
      </c>
      <c r="K10" s="18">
        <v>111.7336</v>
      </c>
      <c r="L10" s="18">
        <v>121.69</v>
      </c>
      <c r="M10" s="18">
        <v>118.008</v>
      </c>
      <c r="N10" s="18">
        <v>114.9614</v>
      </c>
      <c r="O10" s="18">
        <v>114.414</v>
      </c>
      <c r="P10" s="18">
        <v>109.7287</v>
      </c>
      <c r="Q10" s="18">
        <v>114.4335</v>
      </c>
      <c r="R10" s="18">
        <v>116.2427</v>
      </c>
      <c r="S10" s="18">
        <v>130.2151</v>
      </c>
      <c r="T10" s="18">
        <v>123.6558</v>
      </c>
      <c r="U10" s="18">
        <v>120.3734</v>
      </c>
      <c r="V10" s="18">
        <v>115.0248</v>
      </c>
      <c r="W10" s="18">
        <v>110.1989</v>
      </c>
      <c r="X10" s="18">
        <v>115.6408</v>
      </c>
      <c r="Y10" s="18">
        <v>114.349</v>
      </c>
      <c r="Z10" s="18">
        <v>114.1765</v>
      </c>
      <c r="AA10" s="18">
        <v>111.144</v>
      </c>
      <c r="AB10" s="22">
        <f t="shared" ref="AB10:AB14" si="3">SUM(D10:AA10)</f>
        <v>2770.9087</v>
      </c>
    </row>
    <row r="11" s="1" customFormat="1" ht="20" customHeight="1" spans="1:29">
      <c r="A11" s="15"/>
      <c r="B11" s="16"/>
      <c r="C11" s="17" t="s">
        <v>38</v>
      </c>
      <c r="D11" s="19">
        <v>113.997</v>
      </c>
      <c r="E11" s="19">
        <v>116.7549</v>
      </c>
      <c r="F11" s="19">
        <v>119.2734</v>
      </c>
      <c r="G11" s="19">
        <v>118.0802</v>
      </c>
      <c r="H11" s="19">
        <v>117.3269</v>
      </c>
      <c r="I11" s="19">
        <v>118.1224</v>
      </c>
      <c r="J11" s="19">
        <v>114.8911</v>
      </c>
      <c r="K11" s="19">
        <v>109.602</v>
      </c>
      <c r="L11" s="19">
        <v>119.8947</v>
      </c>
      <c r="M11" s="19">
        <v>115.9481</v>
      </c>
      <c r="N11" s="19">
        <v>118.0309</v>
      </c>
      <c r="O11" s="19">
        <v>114.2908</v>
      </c>
      <c r="P11" s="19">
        <v>114.6288</v>
      </c>
      <c r="Q11" s="19">
        <v>120.8715</v>
      </c>
      <c r="R11" s="19">
        <v>124.3951</v>
      </c>
      <c r="S11" s="19">
        <v>123.112</v>
      </c>
      <c r="T11" s="19">
        <v>123.6172</v>
      </c>
      <c r="U11" s="19">
        <v>118.2274</v>
      </c>
      <c r="V11" s="19">
        <v>115.3665</v>
      </c>
      <c r="W11" s="19">
        <v>110.2715</v>
      </c>
      <c r="X11" s="19">
        <v>113.0301</v>
      </c>
      <c r="Y11" s="19">
        <v>117.3498</v>
      </c>
      <c r="Z11" s="19">
        <v>115.4965</v>
      </c>
      <c r="AA11" s="19">
        <v>114.8382</v>
      </c>
      <c r="AB11" s="22">
        <f t="shared" si="3"/>
        <v>2807.417</v>
      </c>
      <c r="AC11" s="21">
        <f>MAX(D11:AA11)</f>
        <v>124.3951</v>
      </c>
    </row>
    <row r="12" s="1" customFormat="1" ht="20" hidden="1" customHeight="1" spans="1:29">
      <c r="A12" s="15"/>
      <c r="B12" s="16"/>
      <c r="C12" s="17" t="s">
        <v>39</v>
      </c>
      <c r="D12" s="20">
        <f t="shared" ref="D12:AB12" si="4">D10-D11</f>
        <v>-3.3141</v>
      </c>
      <c r="E12" s="20">
        <f t="shared" si="4"/>
        <v>-2.5116</v>
      </c>
      <c r="F12" s="20">
        <f t="shared" si="4"/>
        <v>-5.24469999999999</v>
      </c>
      <c r="G12" s="20">
        <f t="shared" si="4"/>
        <v>-2.64710000000001</v>
      </c>
      <c r="H12" s="20">
        <f t="shared" si="4"/>
        <v>-2.36499999999999</v>
      </c>
      <c r="I12" s="20">
        <f t="shared" si="4"/>
        <v>-3.4619</v>
      </c>
      <c r="J12" s="20">
        <f t="shared" si="4"/>
        <v>-3.98299999999999</v>
      </c>
      <c r="K12" s="20">
        <f t="shared" si="4"/>
        <v>2.13159999999999</v>
      </c>
      <c r="L12" s="20">
        <f t="shared" si="4"/>
        <v>1.7953</v>
      </c>
      <c r="M12" s="20">
        <f t="shared" si="4"/>
        <v>2.0599</v>
      </c>
      <c r="N12" s="20">
        <f t="shared" si="4"/>
        <v>-3.0695</v>
      </c>
      <c r="O12" s="20">
        <f t="shared" si="4"/>
        <v>0.123199999999997</v>
      </c>
      <c r="P12" s="20">
        <f t="shared" si="4"/>
        <v>-4.90009999999999</v>
      </c>
      <c r="Q12" s="20">
        <f t="shared" si="4"/>
        <v>-6.438</v>
      </c>
      <c r="R12" s="20">
        <f t="shared" si="4"/>
        <v>-8.1524</v>
      </c>
      <c r="S12" s="20">
        <f t="shared" si="4"/>
        <v>7.10310000000001</v>
      </c>
      <c r="T12" s="20">
        <f t="shared" si="4"/>
        <v>0.0386000000000024</v>
      </c>
      <c r="U12" s="20">
        <f t="shared" si="4"/>
        <v>2.146</v>
      </c>
      <c r="V12" s="20">
        <f t="shared" si="4"/>
        <v>-0.341700000000003</v>
      </c>
      <c r="W12" s="20">
        <f t="shared" si="4"/>
        <v>-0.0726000000000084</v>
      </c>
      <c r="X12" s="20">
        <f t="shared" si="4"/>
        <v>2.61069999999999</v>
      </c>
      <c r="Y12" s="20">
        <f t="shared" si="4"/>
        <v>-3.0008</v>
      </c>
      <c r="Z12" s="20">
        <f t="shared" si="4"/>
        <v>-1.31999999999999</v>
      </c>
      <c r="AA12" s="20">
        <f t="shared" si="4"/>
        <v>-3.69419999999999</v>
      </c>
      <c r="AB12" s="23">
        <f t="shared" si="4"/>
        <v>-36.5082999999991</v>
      </c>
      <c r="AC12" s="24">
        <f>AB12/AB10</f>
        <v>-0.0131755694440596</v>
      </c>
    </row>
    <row r="13" s="1" customFormat="1" ht="20" hidden="1" customHeight="1" spans="1:28">
      <c r="A13" s="15">
        <v>46177</v>
      </c>
      <c r="B13" s="16">
        <v>4303121811816</v>
      </c>
      <c r="C13" s="17" t="s">
        <v>37</v>
      </c>
      <c r="D13" s="18">
        <v>110.66</v>
      </c>
      <c r="E13" s="18">
        <v>111.54</v>
      </c>
      <c r="F13" s="18">
        <v>111.58</v>
      </c>
      <c r="G13" s="18">
        <v>112.62</v>
      </c>
      <c r="H13" s="18">
        <v>111.43</v>
      </c>
      <c r="I13" s="18">
        <v>109.85</v>
      </c>
      <c r="J13" s="18">
        <v>107.62</v>
      </c>
      <c r="K13" s="18">
        <v>109.54</v>
      </c>
      <c r="L13" s="18">
        <v>115.77</v>
      </c>
      <c r="M13" s="18">
        <v>116.87</v>
      </c>
      <c r="N13" s="18">
        <v>109.87</v>
      </c>
      <c r="O13" s="18">
        <v>108.28</v>
      </c>
      <c r="P13" s="18">
        <v>112.31</v>
      </c>
      <c r="Q13" s="18">
        <v>112.88</v>
      </c>
      <c r="R13" s="18">
        <v>113.66</v>
      </c>
      <c r="S13" s="18">
        <v>117.28</v>
      </c>
      <c r="T13" s="18">
        <v>114.31</v>
      </c>
      <c r="U13" s="18">
        <v>113.22</v>
      </c>
      <c r="V13" s="18">
        <v>110.58</v>
      </c>
      <c r="W13" s="18">
        <v>106.22</v>
      </c>
      <c r="X13" s="18">
        <v>110.33</v>
      </c>
      <c r="Y13" s="18">
        <v>111.18</v>
      </c>
      <c r="Z13" s="18">
        <v>108.31</v>
      </c>
      <c r="AA13" s="18">
        <v>105.44</v>
      </c>
      <c r="AB13" s="22">
        <f t="shared" si="3"/>
        <v>2671.35</v>
      </c>
    </row>
    <row r="14" s="1" customFormat="1" ht="20" customHeight="1" spans="1:29">
      <c r="A14" s="15"/>
      <c r="B14" s="16"/>
      <c r="C14" s="17" t="s">
        <v>38</v>
      </c>
      <c r="D14" s="20">
        <v>115.8731</v>
      </c>
      <c r="E14" s="20">
        <v>118.8545</v>
      </c>
      <c r="F14" s="20">
        <v>121.3625</v>
      </c>
      <c r="G14" s="20">
        <v>120.8064</v>
      </c>
      <c r="H14" s="20">
        <v>116.8728</v>
      </c>
      <c r="I14" s="20">
        <v>117.6841</v>
      </c>
      <c r="J14" s="20">
        <v>111.3992</v>
      </c>
      <c r="K14" s="20">
        <v>111.9167</v>
      </c>
      <c r="L14" s="20">
        <v>119.8437</v>
      </c>
      <c r="M14" s="20">
        <v>119.9387</v>
      </c>
      <c r="N14" s="20">
        <v>115.8608</v>
      </c>
      <c r="O14" s="20">
        <v>109.5495</v>
      </c>
      <c r="P14" s="20">
        <v>109.5459</v>
      </c>
      <c r="Q14" s="20">
        <v>117.6894</v>
      </c>
      <c r="R14" s="20">
        <v>112.2285</v>
      </c>
      <c r="S14" s="20">
        <v>118.441</v>
      </c>
      <c r="T14" s="20">
        <v>116.3677</v>
      </c>
      <c r="U14" s="20">
        <v>120.0566</v>
      </c>
      <c r="V14" s="20">
        <v>114.5619</v>
      </c>
      <c r="W14" s="20">
        <v>113.3691</v>
      </c>
      <c r="X14" s="20">
        <v>121.4717</v>
      </c>
      <c r="Y14" s="20">
        <v>121.271</v>
      </c>
      <c r="Z14" s="20">
        <v>118.9144</v>
      </c>
      <c r="AA14" s="20">
        <v>113.1768</v>
      </c>
      <c r="AB14" s="22">
        <f t="shared" si="3"/>
        <v>2797.056</v>
      </c>
      <c r="AC14" s="21">
        <f>MAX(D14:AA14)</f>
        <v>121.4717</v>
      </c>
    </row>
    <row r="15" s="1" customFormat="1" ht="20" hidden="1" customHeight="1" spans="1:29">
      <c r="A15" s="15"/>
      <c r="B15" s="16"/>
      <c r="C15" s="17" t="s">
        <v>39</v>
      </c>
      <c r="D15" s="20">
        <f t="shared" ref="D15:AB15" si="5">D13-D14</f>
        <v>-5.2131</v>
      </c>
      <c r="E15" s="20">
        <f t="shared" si="5"/>
        <v>-7.3145</v>
      </c>
      <c r="F15" s="20">
        <f t="shared" si="5"/>
        <v>-9.7825</v>
      </c>
      <c r="G15" s="20">
        <f t="shared" si="5"/>
        <v>-8.18639999999999</v>
      </c>
      <c r="H15" s="20">
        <f t="shared" si="5"/>
        <v>-5.44279999999999</v>
      </c>
      <c r="I15" s="20">
        <f t="shared" si="5"/>
        <v>-7.83410000000001</v>
      </c>
      <c r="J15" s="20">
        <f t="shared" si="5"/>
        <v>-3.77919999999999</v>
      </c>
      <c r="K15" s="20">
        <f t="shared" si="5"/>
        <v>-2.3767</v>
      </c>
      <c r="L15" s="20">
        <f t="shared" si="5"/>
        <v>-4.0737</v>
      </c>
      <c r="M15" s="20">
        <f t="shared" si="5"/>
        <v>-3.06869999999999</v>
      </c>
      <c r="N15" s="20">
        <f t="shared" si="5"/>
        <v>-5.99079999999999</v>
      </c>
      <c r="O15" s="20">
        <f t="shared" si="5"/>
        <v>-1.26949999999999</v>
      </c>
      <c r="P15" s="20">
        <f t="shared" si="5"/>
        <v>2.7641</v>
      </c>
      <c r="Q15" s="20">
        <f t="shared" si="5"/>
        <v>-4.80940000000001</v>
      </c>
      <c r="R15" s="20">
        <f t="shared" si="5"/>
        <v>1.4315</v>
      </c>
      <c r="S15" s="20">
        <f t="shared" si="5"/>
        <v>-1.161</v>
      </c>
      <c r="T15" s="20">
        <f t="shared" si="5"/>
        <v>-2.0577</v>
      </c>
      <c r="U15" s="20">
        <f t="shared" si="5"/>
        <v>-6.8366</v>
      </c>
      <c r="V15" s="20">
        <f t="shared" si="5"/>
        <v>-3.9819</v>
      </c>
      <c r="W15" s="20">
        <f t="shared" si="5"/>
        <v>-7.1491</v>
      </c>
      <c r="X15" s="20">
        <f t="shared" si="5"/>
        <v>-11.1417</v>
      </c>
      <c r="Y15" s="20">
        <f t="shared" si="5"/>
        <v>-10.091</v>
      </c>
      <c r="Z15" s="20">
        <f t="shared" si="5"/>
        <v>-10.6044</v>
      </c>
      <c r="AA15" s="20">
        <f t="shared" si="5"/>
        <v>-7.7368</v>
      </c>
      <c r="AB15" s="23">
        <f t="shared" si="5"/>
        <v>-125.706000000001</v>
      </c>
      <c r="AC15" s="24">
        <f>AB15/AB13</f>
        <v>-0.0470571059576623</v>
      </c>
    </row>
    <row r="16" s="1" customFormat="1" ht="20" hidden="1" customHeight="1" spans="1:29">
      <c r="A16" s="15">
        <v>46178</v>
      </c>
      <c r="B16" s="16">
        <v>4303121811816</v>
      </c>
      <c r="C16" s="17" t="s">
        <v>37</v>
      </c>
      <c r="D16" s="18">
        <v>110.58</v>
      </c>
      <c r="E16" s="18">
        <v>111.62</v>
      </c>
      <c r="F16" s="18">
        <v>111.55</v>
      </c>
      <c r="G16" s="18">
        <v>112.58</v>
      </c>
      <c r="H16" s="18">
        <v>111.32</v>
      </c>
      <c r="I16" s="18">
        <v>109.79</v>
      </c>
      <c r="J16" s="18">
        <v>107.58</v>
      </c>
      <c r="K16" s="18">
        <v>109.62</v>
      </c>
      <c r="L16" s="18">
        <v>115.62</v>
      </c>
      <c r="M16" s="18">
        <v>116.89</v>
      </c>
      <c r="N16" s="18">
        <v>109.77</v>
      </c>
      <c r="O16" s="18">
        <v>108.31</v>
      </c>
      <c r="P16" s="18">
        <v>112.24</v>
      </c>
      <c r="Q16" s="18">
        <v>112.72</v>
      </c>
      <c r="R16" s="18">
        <v>113.54</v>
      </c>
      <c r="S16" s="18">
        <v>117.33</v>
      </c>
      <c r="T16" s="18">
        <v>114.29</v>
      </c>
      <c r="U16" s="18">
        <v>113.18</v>
      </c>
      <c r="V16" s="18">
        <v>110.62</v>
      </c>
      <c r="W16" s="18">
        <v>106.18</v>
      </c>
      <c r="X16" s="18">
        <v>110.28</v>
      </c>
      <c r="Y16" s="18">
        <v>111.32</v>
      </c>
      <c r="Z16" s="18">
        <v>108.28</v>
      </c>
      <c r="AA16" s="18">
        <v>105.35</v>
      </c>
      <c r="AB16" s="22">
        <f t="shared" ref="AB16:AB20" si="6">SUM(D16:AA16)</f>
        <v>2670.56</v>
      </c>
      <c r="AC16" s="24"/>
    </row>
    <row r="17" s="1" customFormat="1" ht="20" customHeight="1" spans="1:29">
      <c r="A17" s="15"/>
      <c r="B17" s="16"/>
      <c r="C17" s="17" t="s">
        <v>38</v>
      </c>
      <c r="D17" s="19">
        <v>112.5819</v>
      </c>
      <c r="E17" s="19">
        <v>116.0068</v>
      </c>
      <c r="F17" s="19">
        <v>118.2931</v>
      </c>
      <c r="G17" s="19">
        <v>116.7108</v>
      </c>
      <c r="H17" s="19">
        <v>116.0895</v>
      </c>
      <c r="I17" s="19">
        <v>114.5197</v>
      </c>
      <c r="J17" s="19">
        <v>112.258</v>
      </c>
      <c r="K17" s="19">
        <v>111.8691</v>
      </c>
      <c r="L17" s="19">
        <v>116.6616</v>
      </c>
      <c r="M17" s="19">
        <v>116.6598</v>
      </c>
      <c r="N17" s="19">
        <v>116.3095</v>
      </c>
      <c r="O17" s="19">
        <v>115.405</v>
      </c>
      <c r="P17" s="19">
        <v>113.8526</v>
      </c>
      <c r="Q17" s="19">
        <v>116.5156</v>
      </c>
      <c r="R17" s="19">
        <v>119.6647</v>
      </c>
      <c r="S17" s="19">
        <v>122.0236</v>
      </c>
      <c r="T17" s="19">
        <v>123.7793</v>
      </c>
      <c r="U17" s="19">
        <v>124.8444</v>
      </c>
      <c r="V17" s="19">
        <v>119.9</v>
      </c>
      <c r="W17" s="19">
        <v>114.2434</v>
      </c>
      <c r="X17" s="19">
        <v>120.2291</v>
      </c>
      <c r="Y17" s="19">
        <v>119.1062</v>
      </c>
      <c r="Z17" s="19">
        <v>119.7521</v>
      </c>
      <c r="AA17" s="19">
        <v>114.4635</v>
      </c>
      <c r="AB17" s="22">
        <f t="shared" si="6"/>
        <v>2811.7393</v>
      </c>
      <c r="AC17" s="21">
        <f>MAX(D17:AA17)</f>
        <v>124.8444</v>
      </c>
    </row>
    <row r="18" s="1" customFormat="1" ht="20" hidden="1" customHeight="1" spans="1:29">
      <c r="A18" s="15"/>
      <c r="B18" s="16"/>
      <c r="C18" s="17" t="s">
        <v>39</v>
      </c>
      <c r="D18" s="20">
        <f t="shared" ref="D18:AB18" si="7">D16-D17</f>
        <v>-2.00190000000001</v>
      </c>
      <c r="E18" s="20">
        <f t="shared" si="7"/>
        <v>-4.38679999999999</v>
      </c>
      <c r="F18" s="20">
        <f t="shared" si="7"/>
        <v>-6.7431</v>
      </c>
      <c r="G18" s="20">
        <f t="shared" si="7"/>
        <v>-4.13080000000001</v>
      </c>
      <c r="H18" s="20">
        <f t="shared" si="7"/>
        <v>-4.76950000000001</v>
      </c>
      <c r="I18" s="20">
        <f t="shared" si="7"/>
        <v>-4.72969999999999</v>
      </c>
      <c r="J18" s="20">
        <f t="shared" si="7"/>
        <v>-4.678</v>
      </c>
      <c r="K18" s="20">
        <f t="shared" si="7"/>
        <v>-2.2491</v>
      </c>
      <c r="L18" s="20">
        <f t="shared" si="7"/>
        <v>-1.0416</v>
      </c>
      <c r="M18" s="20">
        <f t="shared" si="7"/>
        <v>0.230199999999996</v>
      </c>
      <c r="N18" s="20">
        <f t="shared" si="7"/>
        <v>-6.5395</v>
      </c>
      <c r="O18" s="20">
        <f t="shared" si="7"/>
        <v>-7.095</v>
      </c>
      <c r="P18" s="20">
        <f t="shared" si="7"/>
        <v>-1.6126</v>
      </c>
      <c r="Q18" s="20">
        <f t="shared" si="7"/>
        <v>-3.79560000000001</v>
      </c>
      <c r="R18" s="20">
        <f t="shared" si="7"/>
        <v>-6.12469999999999</v>
      </c>
      <c r="S18" s="20">
        <f t="shared" si="7"/>
        <v>-4.6936</v>
      </c>
      <c r="T18" s="20">
        <f t="shared" si="7"/>
        <v>-9.4893</v>
      </c>
      <c r="U18" s="20">
        <f t="shared" si="7"/>
        <v>-11.6644</v>
      </c>
      <c r="V18" s="20">
        <f t="shared" si="7"/>
        <v>-9.28</v>
      </c>
      <c r="W18" s="20">
        <f t="shared" si="7"/>
        <v>-8.06339999999999</v>
      </c>
      <c r="X18" s="20">
        <f t="shared" si="7"/>
        <v>-9.9491</v>
      </c>
      <c r="Y18" s="20">
        <f t="shared" si="7"/>
        <v>-7.78620000000001</v>
      </c>
      <c r="Z18" s="20">
        <f t="shared" si="7"/>
        <v>-11.4721</v>
      </c>
      <c r="AA18" s="20">
        <f t="shared" si="7"/>
        <v>-9.1135</v>
      </c>
      <c r="AB18" s="23">
        <f t="shared" si="7"/>
        <v>-141.1793</v>
      </c>
      <c r="AC18" s="24">
        <f>AB18/AB16</f>
        <v>-0.0528650545204001</v>
      </c>
    </row>
    <row r="19" s="1" customFormat="1" ht="20" hidden="1" customHeight="1" spans="1:29">
      <c r="A19" s="15">
        <v>46179</v>
      </c>
      <c r="B19" s="16">
        <v>4303121811816</v>
      </c>
      <c r="C19" s="17" t="s">
        <v>37</v>
      </c>
      <c r="D19" s="18">
        <v>110.62</v>
      </c>
      <c r="E19" s="18">
        <v>111.58</v>
      </c>
      <c r="F19" s="18">
        <v>111.54</v>
      </c>
      <c r="G19" s="18">
        <v>112.71</v>
      </c>
      <c r="H19" s="18">
        <v>111.32</v>
      </c>
      <c r="I19" s="18">
        <v>109.89</v>
      </c>
      <c r="J19" s="18">
        <v>107.68</v>
      </c>
      <c r="K19" s="18">
        <v>109.58</v>
      </c>
      <c r="L19" s="18">
        <v>115.71</v>
      </c>
      <c r="M19" s="18">
        <v>116.98</v>
      </c>
      <c r="N19" s="18">
        <v>109.68</v>
      </c>
      <c r="O19" s="18">
        <v>108.28</v>
      </c>
      <c r="P19" s="18">
        <v>112.31</v>
      </c>
      <c r="Q19" s="18">
        <v>112.68</v>
      </c>
      <c r="R19" s="18">
        <v>113.54</v>
      </c>
      <c r="S19" s="18">
        <v>117.28</v>
      </c>
      <c r="T19" s="18">
        <v>114.27</v>
      </c>
      <c r="U19" s="18">
        <v>113.33</v>
      </c>
      <c r="V19" s="18">
        <v>110.54</v>
      </c>
      <c r="W19" s="18">
        <v>106.27</v>
      </c>
      <c r="X19" s="18">
        <v>110.35</v>
      </c>
      <c r="Y19" s="18">
        <v>111.29</v>
      </c>
      <c r="Z19" s="18">
        <v>108.31</v>
      </c>
      <c r="AA19" s="18">
        <v>105.24</v>
      </c>
      <c r="AB19" s="22">
        <f t="shared" si="6"/>
        <v>2670.98</v>
      </c>
      <c r="AC19" s="24"/>
    </row>
    <row r="20" s="1" customFormat="1" ht="20" customHeight="1" spans="1:29">
      <c r="A20" s="15"/>
      <c r="B20" s="16"/>
      <c r="C20" s="17" t="s">
        <v>38</v>
      </c>
      <c r="D20" s="20">
        <v>113.9512</v>
      </c>
      <c r="E20" s="20">
        <v>117.2952</v>
      </c>
      <c r="F20" s="20">
        <v>115.5176</v>
      </c>
      <c r="G20" s="20">
        <v>118.3635</v>
      </c>
      <c r="H20" s="20">
        <v>121.1179</v>
      </c>
      <c r="I20" s="20">
        <v>118.8933</v>
      </c>
      <c r="J20" s="20">
        <v>115.9188</v>
      </c>
      <c r="K20" s="20">
        <v>109.7589</v>
      </c>
      <c r="L20" s="20">
        <v>118.7437</v>
      </c>
      <c r="M20" s="20">
        <v>115.4313</v>
      </c>
      <c r="N20" s="20">
        <v>119.5708</v>
      </c>
      <c r="O20" s="20">
        <v>111.5541</v>
      </c>
      <c r="P20" s="20">
        <v>112.7808</v>
      </c>
      <c r="Q20" s="20">
        <v>111.709</v>
      </c>
      <c r="R20" s="20">
        <v>113.5693</v>
      </c>
      <c r="S20" s="20">
        <v>121.0809</v>
      </c>
      <c r="T20" s="20">
        <v>119.2876</v>
      </c>
      <c r="U20" s="20">
        <v>118.0872</v>
      </c>
      <c r="V20" s="20">
        <v>115.507</v>
      </c>
      <c r="W20" s="20">
        <v>111.5804</v>
      </c>
      <c r="X20" s="20">
        <v>116.1934</v>
      </c>
      <c r="Y20" s="20">
        <v>115.1093</v>
      </c>
      <c r="Z20" s="20">
        <v>115.4208</v>
      </c>
      <c r="AA20" s="20">
        <v>111.5893</v>
      </c>
      <c r="AB20" s="22">
        <f t="shared" si="6"/>
        <v>2778.0313</v>
      </c>
      <c r="AC20" s="21">
        <f>MAX(D20:AA20)</f>
        <v>121.1179</v>
      </c>
    </row>
    <row r="21" s="1" customFormat="1" ht="20" hidden="1" customHeight="1" spans="1:29">
      <c r="A21" s="15"/>
      <c r="B21" s="16"/>
      <c r="C21" s="17" t="s">
        <v>39</v>
      </c>
      <c r="D21" s="20">
        <f t="shared" ref="D21:AB21" si="8">D19-D20</f>
        <v>-3.3312</v>
      </c>
      <c r="E21" s="20">
        <f t="shared" si="8"/>
        <v>-5.7152</v>
      </c>
      <c r="F21" s="20">
        <f t="shared" si="8"/>
        <v>-3.9776</v>
      </c>
      <c r="G21" s="20">
        <f t="shared" si="8"/>
        <v>-5.65350000000001</v>
      </c>
      <c r="H21" s="20">
        <f t="shared" si="8"/>
        <v>-9.79790000000001</v>
      </c>
      <c r="I21" s="20">
        <f t="shared" si="8"/>
        <v>-9.0033</v>
      </c>
      <c r="J21" s="20">
        <f t="shared" si="8"/>
        <v>-8.2388</v>
      </c>
      <c r="K21" s="20">
        <f t="shared" si="8"/>
        <v>-0.178899999999999</v>
      </c>
      <c r="L21" s="20">
        <f t="shared" si="8"/>
        <v>-3.03370000000001</v>
      </c>
      <c r="M21" s="20">
        <f t="shared" si="8"/>
        <v>1.54870000000001</v>
      </c>
      <c r="N21" s="20">
        <f t="shared" si="8"/>
        <v>-9.8908</v>
      </c>
      <c r="O21" s="20">
        <f t="shared" si="8"/>
        <v>-3.2741</v>
      </c>
      <c r="P21" s="20">
        <f t="shared" si="8"/>
        <v>-0.470799999999997</v>
      </c>
      <c r="Q21" s="20">
        <f t="shared" si="8"/>
        <v>0.971000000000004</v>
      </c>
      <c r="R21" s="20">
        <f t="shared" si="8"/>
        <v>-0.0292999999999921</v>
      </c>
      <c r="S21" s="20">
        <f t="shared" si="8"/>
        <v>-3.8009</v>
      </c>
      <c r="T21" s="20">
        <f t="shared" si="8"/>
        <v>-5.0176</v>
      </c>
      <c r="U21" s="20">
        <f t="shared" si="8"/>
        <v>-4.7572</v>
      </c>
      <c r="V21" s="20">
        <f t="shared" si="8"/>
        <v>-4.967</v>
      </c>
      <c r="W21" s="20">
        <f t="shared" si="8"/>
        <v>-5.3104</v>
      </c>
      <c r="X21" s="20">
        <f t="shared" si="8"/>
        <v>-5.8434</v>
      </c>
      <c r="Y21" s="20">
        <f t="shared" si="8"/>
        <v>-3.8193</v>
      </c>
      <c r="Z21" s="20">
        <f t="shared" si="8"/>
        <v>-7.1108</v>
      </c>
      <c r="AA21" s="20">
        <f t="shared" si="8"/>
        <v>-6.3493</v>
      </c>
      <c r="AB21" s="23">
        <f t="shared" si="8"/>
        <v>-107.051300000001</v>
      </c>
      <c r="AC21" s="24">
        <f>AB21/AB19</f>
        <v>-0.0400794090558524</v>
      </c>
    </row>
    <row r="22" s="1" customFormat="1" ht="20" hidden="1" customHeight="1" spans="1:29">
      <c r="A22" s="15">
        <v>46180</v>
      </c>
      <c r="B22" s="16">
        <v>4303121811816</v>
      </c>
      <c r="C22" s="17" t="s">
        <v>37</v>
      </c>
      <c r="D22" s="18">
        <v>106.55</v>
      </c>
      <c r="E22" s="18">
        <v>111.71</v>
      </c>
      <c r="F22" s="18">
        <v>111.12</v>
      </c>
      <c r="G22" s="18">
        <v>109.58</v>
      </c>
      <c r="H22" s="18">
        <v>109.65</v>
      </c>
      <c r="I22" s="18">
        <v>109.75</v>
      </c>
      <c r="J22" s="18">
        <v>99.68</v>
      </c>
      <c r="K22" s="18">
        <v>99.21</v>
      </c>
      <c r="L22" s="18">
        <v>101.58</v>
      </c>
      <c r="M22" s="18">
        <v>101.62</v>
      </c>
      <c r="N22" s="18">
        <v>98.62</v>
      </c>
      <c r="O22" s="18">
        <v>97.55</v>
      </c>
      <c r="P22" s="18">
        <v>97.84</v>
      </c>
      <c r="Q22" s="18">
        <v>101.25</v>
      </c>
      <c r="R22" s="18">
        <v>101.31</v>
      </c>
      <c r="S22" s="18">
        <v>100.21</v>
      </c>
      <c r="T22" s="18">
        <v>101.54</v>
      </c>
      <c r="U22" s="18">
        <v>104.33</v>
      </c>
      <c r="V22" s="18">
        <v>101.54</v>
      </c>
      <c r="W22" s="18">
        <v>100.22</v>
      </c>
      <c r="X22" s="18">
        <v>104.55</v>
      </c>
      <c r="Y22" s="18">
        <v>102.68</v>
      </c>
      <c r="Z22" s="18">
        <v>103.71</v>
      </c>
      <c r="AA22" s="18">
        <v>98.58</v>
      </c>
      <c r="AB22" s="22">
        <f t="shared" ref="AB22:AB26" si="9">SUM(D22:AA22)</f>
        <v>2474.38</v>
      </c>
      <c r="AC22" s="24"/>
    </row>
    <row r="23" s="1" customFormat="1" ht="20" customHeight="1" spans="1:29">
      <c r="A23" s="15"/>
      <c r="B23" s="16"/>
      <c r="C23" s="17" t="s">
        <v>38</v>
      </c>
      <c r="D23" s="19">
        <v>111.0102</v>
      </c>
      <c r="E23" s="19">
        <v>113.3088</v>
      </c>
      <c r="F23" s="19">
        <v>115.8045</v>
      </c>
      <c r="G23" s="19">
        <v>113.2419</v>
      </c>
      <c r="H23" s="19">
        <v>113.0466</v>
      </c>
      <c r="I23" s="19">
        <v>111.408</v>
      </c>
      <c r="J23" s="19">
        <v>104.2448</v>
      </c>
      <c r="K23" s="19">
        <v>95.385</v>
      </c>
      <c r="L23" s="19">
        <v>97.4124</v>
      </c>
      <c r="M23" s="19">
        <v>98.8293</v>
      </c>
      <c r="N23" s="19">
        <v>93.8309</v>
      </c>
      <c r="O23" s="19">
        <v>95.6138</v>
      </c>
      <c r="P23" s="19">
        <v>95.0681</v>
      </c>
      <c r="Q23" s="19">
        <v>100.1721</v>
      </c>
      <c r="R23" s="19">
        <v>98.2268</v>
      </c>
      <c r="S23" s="19">
        <v>99.3098</v>
      </c>
      <c r="T23" s="19">
        <v>102.8228</v>
      </c>
      <c r="U23" s="19">
        <v>101.5714</v>
      </c>
      <c r="V23" s="19">
        <v>97.7962</v>
      </c>
      <c r="W23" s="19">
        <v>95.3814</v>
      </c>
      <c r="X23" s="19">
        <v>99.8078</v>
      </c>
      <c r="Y23" s="19">
        <v>97.8965</v>
      </c>
      <c r="Z23" s="19">
        <v>94.1418</v>
      </c>
      <c r="AA23" s="19">
        <v>93.9453</v>
      </c>
      <c r="AB23" s="22">
        <f t="shared" si="9"/>
        <v>2439.2762</v>
      </c>
      <c r="AC23" s="21">
        <f>MAX(D23:AA23)</f>
        <v>115.8045</v>
      </c>
    </row>
    <row r="24" s="1" customFormat="1" ht="20" hidden="1" customHeight="1" spans="1:29">
      <c r="A24" s="15"/>
      <c r="B24" s="16"/>
      <c r="C24" s="17" t="s">
        <v>39</v>
      </c>
      <c r="D24" s="20">
        <f t="shared" ref="D24:AB24" si="10">D22-D23</f>
        <v>-4.4602</v>
      </c>
      <c r="E24" s="20">
        <f t="shared" si="10"/>
        <v>-1.59880000000001</v>
      </c>
      <c r="F24" s="20">
        <f t="shared" si="10"/>
        <v>-4.6845</v>
      </c>
      <c r="G24" s="20">
        <f t="shared" si="10"/>
        <v>-3.6619</v>
      </c>
      <c r="H24" s="20">
        <f t="shared" si="10"/>
        <v>-3.39659999999999</v>
      </c>
      <c r="I24" s="20">
        <f t="shared" si="10"/>
        <v>-1.658</v>
      </c>
      <c r="J24" s="20">
        <f t="shared" si="10"/>
        <v>-4.56479999999999</v>
      </c>
      <c r="K24" s="20">
        <f t="shared" si="10"/>
        <v>3.82499999999999</v>
      </c>
      <c r="L24" s="20">
        <f t="shared" si="10"/>
        <v>4.16759999999999</v>
      </c>
      <c r="M24" s="20">
        <f t="shared" si="10"/>
        <v>2.7907</v>
      </c>
      <c r="N24" s="20">
        <f t="shared" si="10"/>
        <v>4.7891</v>
      </c>
      <c r="O24" s="20">
        <f t="shared" si="10"/>
        <v>1.9362</v>
      </c>
      <c r="P24" s="20">
        <f t="shared" si="10"/>
        <v>2.7719</v>
      </c>
      <c r="Q24" s="20">
        <f t="shared" si="10"/>
        <v>1.0779</v>
      </c>
      <c r="R24" s="20">
        <f t="shared" si="10"/>
        <v>3.0832</v>
      </c>
      <c r="S24" s="20">
        <f t="shared" si="10"/>
        <v>0.900199999999998</v>
      </c>
      <c r="T24" s="20">
        <f t="shared" si="10"/>
        <v>-1.28279999999999</v>
      </c>
      <c r="U24" s="20">
        <f t="shared" si="10"/>
        <v>2.7586</v>
      </c>
      <c r="V24" s="20">
        <f t="shared" si="10"/>
        <v>3.74380000000001</v>
      </c>
      <c r="W24" s="20">
        <f t="shared" si="10"/>
        <v>4.8386</v>
      </c>
      <c r="X24" s="20">
        <f t="shared" si="10"/>
        <v>4.7422</v>
      </c>
      <c r="Y24" s="20">
        <f t="shared" si="10"/>
        <v>4.7835</v>
      </c>
      <c r="Z24" s="20">
        <f t="shared" si="10"/>
        <v>9.56819999999999</v>
      </c>
      <c r="AA24" s="20">
        <f t="shared" si="10"/>
        <v>4.6347</v>
      </c>
      <c r="AB24" s="23">
        <f t="shared" si="10"/>
        <v>35.1037999999999</v>
      </c>
      <c r="AC24" s="24">
        <f>AB24/AB22</f>
        <v>0.0141869074273151</v>
      </c>
    </row>
    <row r="25" s="1" customFormat="1" ht="20" hidden="1" customHeight="1" spans="1:29">
      <c r="A25" s="15">
        <v>46181</v>
      </c>
      <c r="B25" s="16">
        <v>4303121811816</v>
      </c>
      <c r="C25" s="17" t="s">
        <v>37</v>
      </c>
      <c r="D25" s="18">
        <v>99.31</v>
      </c>
      <c r="E25" s="18">
        <v>103.21</v>
      </c>
      <c r="F25" s="18">
        <v>104.65</v>
      </c>
      <c r="G25" s="18">
        <v>104.21</v>
      </c>
      <c r="H25" s="18">
        <v>104.87</v>
      </c>
      <c r="I25" s="18">
        <v>100.85</v>
      </c>
      <c r="J25" s="18">
        <v>101.11</v>
      </c>
      <c r="K25" s="18">
        <v>102.31</v>
      </c>
      <c r="L25" s="18">
        <v>111.44</v>
      </c>
      <c r="M25" s="18">
        <v>110.48</v>
      </c>
      <c r="N25" s="18">
        <v>110.71</v>
      </c>
      <c r="O25" s="18">
        <v>111.12</v>
      </c>
      <c r="P25" s="18">
        <v>103.58</v>
      </c>
      <c r="Q25" s="18">
        <v>108.34</v>
      </c>
      <c r="R25" s="18">
        <v>114.28</v>
      </c>
      <c r="S25" s="18">
        <v>115.11</v>
      </c>
      <c r="T25" s="18">
        <v>119.28</v>
      </c>
      <c r="U25" s="18">
        <v>116.33</v>
      </c>
      <c r="V25" s="18">
        <v>112.54</v>
      </c>
      <c r="W25" s="18">
        <v>113.54</v>
      </c>
      <c r="X25" s="18">
        <v>117.62</v>
      </c>
      <c r="Y25" s="18">
        <v>115.75</v>
      </c>
      <c r="Z25" s="18">
        <v>115.01</v>
      </c>
      <c r="AA25" s="18">
        <v>110.18</v>
      </c>
      <c r="AB25" s="22">
        <f t="shared" si="9"/>
        <v>2625.83</v>
      </c>
      <c r="AC25" s="24"/>
    </row>
    <row r="26" s="1" customFormat="1" ht="20" customHeight="1" spans="1:29">
      <c r="A26" s="15"/>
      <c r="B26" s="16"/>
      <c r="C26" s="17" t="s">
        <v>38</v>
      </c>
      <c r="D26" s="20">
        <v>92.7837</v>
      </c>
      <c r="E26" s="20">
        <v>96.0256</v>
      </c>
      <c r="F26" s="20">
        <v>97.9458</v>
      </c>
      <c r="G26" s="20">
        <v>95.7545</v>
      </c>
      <c r="H26" s="20">
        <v>95.6067</v>
      </c>
      <c r="I26" s="20">
        <v>97.4213</v>
      </c>
      <c r="J26" s="20">
        <v>98.6902</v>
      </c>
      <c r="K26" s="20">
        <v>103.3912</v>
      </c>
      <c r="L26" s="20">
        <v>111.987</v>
      </c>
      <c r="M26" s="20">
        <v>114.5214</v>
      </c>
      <c r="N26" s="20">
        <v>113.9688</v>
      </c>
      <c r="O26" s="20">
        <v>109.9454</v>
      </c>
      <c r="P26" s="20">
        <v>109.3769</v>
      </c>
      <c r="Q26" s="20">
        <v>116.2673</v>
      </c>
      <c r="R26" s="20">
        <v>115.1762</v>
      </c>
      <c r="S26" s="20">
        <v>117.26</v>
      </c>
      <c r="T26" s="20">
        <v>114.6323</v>
      </c>
      <c r="U26" s="20">
        <v>114.6077</v>
      </c>
      <c r="V26" s="20">
        <v>112.7949</v>
      </c>
      <c r="W26" s="20">
        <v>105.0174</v>
      </c>
      <c r="X26" s="20">
        <v>111.3418</v>
      </c>
      <c r="Y26" s="20">
        <v>111.4809</v>
      </c>
      <c r="Z26" s="20">
        <v>109.4632</v>
      </c>
      <c r="AA26" s="20">
        <v>104.1938</v>
      </c>
      <c r="AB26" s="22">
        <f t="shared" si="9"/>
        <v>2569.654</v>
      </c>
      <c r="AC26" s="21">
        <f>MAX(D26:AA26)</f>
        <v>117.26</v>
      </c>
    </row>
    <row r="27" s="1" customFormat="1" ht="20" hidden="1" customHeight="1" spans="1:29">
      <c r="A27" s="15"/>
      <c r="B27" s="16"/>
      <c r="C27" s="17" t="s">
        <v>39</v>
      </c>
      <c r="D27" s="20">
        <f t="shared" ref="D27:AB27" si="11">D25-D26</f>
        <v>6.52630000000001</v>
      </c>
      <c r="E27" s="20">
        <f t="shared" si="11"/>
        <v>7.1844</v>
      </c>
      <c r="F27" s="20">
        <f t="shared" si="11"/>
        <v>6.7042</v>
      </c>
      <c r="G27" s="20">
        <f t="shared" si="11"/>
        <v>8.4555</v>
      </c>
      <c r="H27" s="20">
        <f t="shared" si="11"/>
        <v>9.2633</v>
      </c>
      <c r="I27" s="20">
        <f t="shared" si="11"/>
        <v>3.42869999999999</v>
      </c>
      <c r="J27" s="20">
        <f t="shared" si="11"/>
        <v>2.41979999999999</v>
      </c>
      <c r="K27" s="20">
        <f t="shared" si="11"/>
        <v>-1.0812</v>
      </c>
      <c r="L27" s="20">
        <f t="shared" si="11"/>
        <v>-0.546999999999997</v>
      </c>
      <c r="M27" s="20">
        <f t="shared" si="11"/>
        <v>-4.0414</v>
      </c>
      <c r="N27" s="20">
        <f t="shared" si="11"/>
        <v>-3.25880000000001</v>
      </c>
      <c r="O27" s="20">
        <f t="shared" si="11"/>
        <v>1.1746</v>
      </c>
      <c r="P27" s="20">
        <f t="shared" si="11"/>
        <v>-5.79690000000001</v>
      </c>
      <c r="Q27" s="20">
        <f t="shared" si="11"/>
        <v>-7.9273</v>
      </c>
      <c r="R27" s="20">
        <f t="shared" si="11"/>
        <v>-0.896199999999993</v>
      </c>
      <c r="S27" s="20">
        <f t="shared" si="11"/>
        <v>-2.15000000000001</v>
      </c>
      <c r="T27" s="20">
        <f t="shared" si="11"/>
        <v>4.6477</v>
      </c>
      <c r="U27" s="20">
        <f t="shared" si="11"/>
        <v>1.7223</v>
      </c>
      <c r="V27" s="20">
        <f t="shared" si="11"/>
        <v>-0.254899999999992</v>
      </c>
      <c r="W27" s="20">
        <f t="shared" si="11"/>
        <v>8.52260000000001</v>
      </c>
      <c r="X27" s="20">
        <f t="shared" si="11"/>
        <v>6.2782</v>
      </c>
      <c r="Y27" s="20">
        <f t="shared" si="11"/>
        <v>4.26909999999999</v>
      </c>
      <c r="Z27" s="20">
        <f t="shared" si="11"/>
        <v>5.5468</v>
      </c>
      <c r="AA27" s="20">
        <f t="shared" si="11"/>
        <v>5.98620000000001</v>
      </c>
      <c r="AB27" s="23">
        <f t="shared" si="11"/>
        <v>56.175999999999</v>
      </c>
      <c r="AC27" s="24">
        <f>AB27/AB25</f>
        <v>0.0213936164945937</v>
      </c>
    </row>
    <row r="28" s="1" customFormat="1" ht="20" hidden="1" customHeight="1" spans="1:29">
      <c r="A28" s="15">
        <v>46182</v>
      </c>
      <c r="B28" s="16">
        <v>4303121811816</v>
      </c>
      <c r="C28" s="17" t="s">
        <v>37</v>
      </c>
      <c r="D28" s="18">
        <v>113.68</v>
      </c>
      <c r="E28" s="18">
        <v>117.85</v>
      </c>
      <c r="F28" s="18">
        <v>119.65</v>
      </c>
      <c r="G28" s="18">
        <v>119.84</v>
      </c>
      <c r="H28" s="18">
        <v>116.33</v>
      </c>
      <c r="I28" s="18">
        <v>117.54</v>
      </c>
      <c r="J28" s="18">
        <v>111.21</v>
      </c>
      <c r="K28" s="18">
        <v>111.87</v>
      </c>
      <c r="L28" s="18">
        <v>119.87</v>
      </c>
      <c r="M28" s="18">
        <v>115.69</v>
      </c>
      <c r="N28" s="18">
        <v>118.03</v>
      </c>
      <c r="O28" s="18">
        <v>114.22</v>
      </c>
      <c r="P28" s="18">
        <v>114.54</v>
      </c>
      <c r="Q28" s="18">
        <v>120.54</v>
      </c>
      <c r="R28" s="18">
        <v>123.66</v>
      </c>
      <c r="S28" s="18">
        <v>123.11</v>
      </c>
      <c r="T28" s="18">
        <v>123.54</v>
      </c>
      <c r="U28" s="18">
        <v>118.12</v>
      </c>
      <c r="V28" s="18">
        <v>115.32</v>
      </c>
      <c r="W28" s="18">
        <v>110.24</v>
      </c>
      <c r="X28" s="18">
        <v>113.11</v>
      </c>
      <c r="Y28" s="18">
        <v>117.54</v>
      </c>
      <c r="Z28" s="18">
        <v>115.62</v>
      </c>
      <c r="AA28" s="18">
        <v>114.22</v>
      </c>
      <c r="AB28" s="22">
        <f t="shared" ref="AB28:AB32" si="12">SUM(D28:AA28)</f>
        <v>2805.34</v>
      </c>
      <c r="AC28" s="24"/>
    </row>
    <row r="29" s="1" customFormat="1" ht="20" customHeight="1" spans="1:29">
      <c r="A29" s="15"/>
      <c r="B29" s="16"/>
      <c r="C29" s="17" t="s">
        <v>38</v>
      </c>
      <c r="D29" s="19">
        <v>105.7302</v>
      </c>
      <c r="E29" s="19">
        <v>108.9686</v>
      </c>
      <c r="F29" s="19">
        <v>108.6835</v>
      </c>
      <c r="G29" s="19">
        <v>109.0566</v>
      </c>
      <c r="H29" s="19">
        <v>107.0526</v>
      </c>
      <c r="I29" s="19">
        <v>104.8752</v>
      </c>
      <c r="J29" s="19">
        <v>105.3307</v>
      </c>
      <c r="K29" s="19">
        <v>102.4002</v>
      </c>
      <c r="L29" s="19">
        <v>113.1627</v>
      </c>
      <c r="M29" s="19">
        <v>106.4492</v>
      </c>
      <c r="N29" s="19">
        <v>109.2713</v>
      </c>
      <c r="O29" s="19">
        <v>105.6896</v>
      </c>
      <c r="P29" s="19">
        <v>102.8949</v>
      </c>
      <c r="Q29" s="19">
        <v>106.6877</v>
      </c>
      <c r="R29" s="19">
        <v>112.4858</v>
      </c>
      <c r="S29" s="19">
        <v>112.8582</v>
      </c>
      <c r="T29" s="19">
        <v>110.4435</v>
      </c>
      <c r="U29" s="19">
        <v>113.682</v>
      </c>
      <c r="V29" s="19">
        <v>112.2686</v>
      </c>
      <c r="W29" s="19">
        <v>107.5624</v>
      </c>
      <c r="X29" s="19">
        <v>111.6439</v>
      </c>
      <c r="Y29" s="19">
        <v>111.628</v>
      </c>
      <c r="Z29" s="19">
        <v>109.9404</v>
      </c>
      <c r="AA29" s="19">
        <v>105.116</v>
      </c>
      <c r="AB29" s="22">
        <f t="shared" si="12"/>
        <v>2603.8818</v>
      </c>
      <c r="AC29" s="21">
        <f>MAX(D29:AA29)</f>
        <v>113.682</v>
      </c>
    </row>
    <row r="30" s="1" customFormat="1" ht="20" hidden="1" customHeight="1" spans="1:29">
      <c r="A30" s="15"/>
      <c r="B30" s="16"/>
      <c r="C30" s="17" t="s">
        <v>39</v>
      </c>
      <c r="D30" s="20">
        <f t="shared" ref="D30:AB30" si="13">D28-D29</f>
        <v>7.94980000000001</v>
      </c>
      <c r="E30" s="20">
        <f t="shared" si="13"/>
        <v>8.8814</v>
      </c>
      <c r="F30" s="20">
        <f t="shared" si="13"/>
        <v>10.9665</v>
      </c>
      <c r="G30" s="20">
        <f t="shared" si="13"/>
        <v>10.7834</v>
      </c>
      <c r="H30" s="20">
        <f t="shared" si="13"/>
        <v>9.2774</v>
      </c>
      <c r="I30" s="20">
        <f t="shared" si="13"/>
        <v>12.6648</v>
      </c>
      <c r="J30" s="20">
        <f t="shared" si="13"/>
        <v>5.8793</v>
      </c>
      <c r="K30" s="20">
        <f t="shared" si="13"/>
        <v>9.46980000000001</v>
      </c>
      <c r="L30" s="20">
        <f t="shared" si="13"/>
        <v>6.7073</v>
      </c>
      <c r="M30" s="20">
        <f t="shared" si="13"/>
        <v>9.24079999999999</v>
      </c>
      <c r="N30" s="20">
        <f t="shared" si="13"/>
        <v>8.7587</v>
      </c>
      <c r="O30" s="20">
        <f t="shared" si="13"/>
        <v>8.5304</v>
      </c>
      <c r="P30" s="20">
        <f t="shared" si="13"/>
        <v>11.6451</v>
      </c>
      <c r="Q30" s="20">
        <f t="shared" si="13"/>
        <v>13.8523</v>
      </c>
      <c r="R30" s="20">
        <f t="shared" si="13"/>
        <v>11.1742</v>
      </c>
      <c r="S30" s="20">
        <f t="shared" si="13"/>
        <v>10.2518</v>
      </c>
      <c r="T30" s="20">
        <f t="shared" si="13"/>
        <v>13.0965</v>
      </c>
      <c r="U30" s="20">
        <f t="shared" si="13"/>
        <v>4.438</v>
      </c>
      <c r="V30" s="20">
        <f t="shared" si="13"/>
        <v>3.05139999999999</v>
      </c>
      <c r="W30" s="20">
        <f t="shared" si="13"/>
        <v>2.6776</v>
      </c>
      <c r="X30" s="20">
        <f t="shared" si="13"/>
        <v>1.4661</v>
      </c>
      <c r="Y30" s="20">
        <f t="shared" si="13"/>
        <v>5.91200000000001</v>
      </c>
      <c r="Z30" s="20">
        <f t="shared" si="13"/>
        <v>5.67960000000001</v>
      </c>
      <c r="AA30" s="20">
        <f t="shared" si="13"/>
        <v>9.104</v>
      </c>
      <c r="AB30" s="23">
        <f t="shared" si="13"/>
        <v>201.4582</v>
      </c>
      <c r="AC30" s="24">
        <f>AB30/AB28</f>
        <v>0.0718124006359301</v>
      </c>
    </row>
    <row r="31" s="1" customFormat="1" ht="20" hidden="1" customHeight="1" spans="1:29">
      <c r="A31" s="15">
        <v>46183</v>
      </c>
      <c r="B31" s="16">
        <v>4303121811816</v>
      </c>
      <c r="C31" s="17" t="s">
        <v>37</v>
      </c>
      <c r="D31" s="18">
        <v>112.66</v>
      </c>
      <c r="E31" s="18">
        <v>116.11</v>
      </c>
      <c r="F31" s="18">
        <v>118.33</v>
      </c>
      <c r="G31" s="18">
        <v>119.23</v>
      </c>
      <c r="H31" s="18">
        <v>116.98</v>
      </c>
      <c r="I31" s="18">
        <v>117.84</v>
      </c>
      <c r="J31" s="18">
        <v>112.55</v>
      </c>
      <c r="K31" s="18">
        <v>111.66</v>
      </c>
      <c r="L31" s="18">
        <v>119.66</v>
      </c>
      <c r="M31" s="18">
        <v>119.58</v>
      </c>
      <c r="N31" s="18">
        <v>115.77</v>
      </c>
      <c r="O31" s="18">
        <v>109.62</v>
      </c>
      <c r="P31" s="18">
        <v>109.62</v>
      </c>
      <c r="Q31" s="18">
        <v>117.58</v>
      </c>
      <c r="R31" s="18">
        <v>112.31</v>
      </c>
      <c r="S31" s="18">
        <v>118.35</v>
      </c>
      <c r="T31" s="18">
        <v>116.33</v>
      </c>
      <c r="U31" s="18">
        <v>120.18</v>
      </c>
      <c r="V31" s="18">
        <v>114.33</v>
      </c>
      <c r="W31" s="18">
        <v>113.14</v>
      </c>
      <c r="X31" s="18">
        <v>121.54</v>
      </c>
      <c r="Y31" s="18">
        <v>121.32</v>
      </c>
      <c r="Z31" s="18">
        <v>118.62</v>
      </c>
      <c r="AA31" s="18">
        <v>113.89</v>
      </c>
      <c r="AB31" s="22">
        <f t="shared" si="12"/>
        <v>2787.2</v>
      </c>
      <c r="AC31" s="24"/>
    </row>
    <row r="32" s="1" customFormat="1" ht="20" customHeight="1" spans="1:29">
      <c r="A32" s="15"/>
      <c r="B32" s="16"/>
      <c r="C32" s="17" t="s">
        <v>38</v>
      </c>
      <c r="D32" s="20">
        <v>106.8708</v>
      </c>
      <c r="E32" s="20">
        <v>109.4796</v>
      </c>
      <c r="F32" s="20">
        <v>110.1784</v>
      </c>
      <c r="G32" s="20">
        <v>110.0422</v>
      </c>
      <c r="H32" s="20">
        <v>109.2995</v>
      </c>
      <c r="I32" s="20">
        <v>109.0725</v>
      </c>
      <c r="J32" s="20">
        <v>105.2287</v>
      </c>
      <c r="K32" s="20">
        <v>102.2172</v>
      </c>
      <c r="L32" s="20">
        <v>111.6597</v>
      </c>
      <c r="M32" s="20">
        <v>109.5036</v>
      </c>
      <c r="N32" s="20">
        <v>107.2421</v>
      </c>
      <c r="O32" s="20">
        <v>101.5216</v>
      </c>
      <c r="P32" s="20">
        <v>101.5538</v>
      </c>
      <c r="Q32" s="20">
        <v>111.5946</v>
      </c>
      <c r="R32" s="20">
        <v>109.8885</v>
      </c>
      <c r="S32" s="20">
        <v>109.9313</v>
      </c>
      <c r="T32" s="20">
        <v>113.2525</v>
      </c>
      <c r="U32" s="20">
        <v>113.1099</v>
      </c>
      <c r="V32" s="20">
        <v>110.2605</v>
      </c>
      <c r="W32" s="20">
        <v>106.6836</v>
      </c>
      <c r="X32" s="20">
        <v>109.6814</v>
      </c>
      <c r="Y32" s="20">
        <v>112.0574</v>
      </c>
      <c r="Z32" s="20">
        <v>110.1672</v>
      </c>
      <c r="AA32" s="20">
        <v>108.2224</v>
      </c>
      <c r="AB32" s="22">
        <f t="shared" si="12"/>
        <v>2608.719</v>
      </c>
      <c r="AC32" s="21">
        <f>MAX(D32:AA32)</f>
        <v>113.2525</v>
      </c>
    </row>
    <row r="33" s="1" customFormat="1" ht="20" hidden="1" customHeight="1" spans="1:29">
      <c r="A33" s="15"/>
      <c r="B33" s="16"/>
      <c r="C33" s="17" t="s">
        <v>39</v>
      </c>
      <c r="D33" s="20">
        <f t="shared" ref="D33:AB33" si="14">D31-D32</f>
        <v>5.78919999999999</v>
      </c>
      <c r="E33" s="20">
        <f t="shared" si="14"/>
        <v>6.63039999999999</v>
      </c>
      <c r="F33" s="20">
        <f t="shared" si="14"/>
        <v>8.1516</v>
      </c>
      <c r="G33" s="20">
        <f t="shared" si="14"/>
        <v>9.18780000000001</v>
      </c>
      <c r="H33" s="20">
        <f t="shared" si="14"/>
        <v>7.68050000000001</v>
      </c>
      <c r="I33" s="20">
        <f t="shared" si="14"/>
        <v>8.7675</v>
      </c>
      <c r="J33" s="20">
        <f t="shared" si="14"/>
        <v>7.32129999999999</v>
      </c>
      <c r="K33" s="20">
        <f t="shared" si="14"/>
        <v>9.44279999999999</v>
      </c>
      <c r="L33" s="20">
        <f t="shared" si="14"/>
        <v>8.0003</v>
      </c>
      <c r="M33" s="20">
        <f t="shared" si="14"/>
        <v>10.0764</v>
      </c>
      <c r="N33" s="20">
        <f t="shared" si="14"/>
        <v>8.5279</v>
      </c>
      <c r="O33" s="20">
        <f t="shared" si="14"/>
        <v>8.0984</v>
      </c>
      <c r="P33" s="20">
        <f t="shared" si="14"/>
        <v>8.06620000000001</v>
      </c>
      <c r="Q33" s="20">
        <f t="shared" si="14"/>
        <v>5.9854</v>
      </c>
      <c r="R33" s="20">
        <f t="shared" si="14"/>
        <v>2.42150000000001</v>
      </c>
      <c r="S33" s="20">
        <f t="shared" si="14"/>
        <v>8.4187</v>
      </c>
      <c r="T33" s="20">
        <f t="shared" si="14"/>
        <v>3.0775</v>
      </c>
      <c r="U33" s="20">
        <f t="shared" si="14"/>
        <v>7.07010000000001</v>
      </c>
      <c r="V33" s="20">
        <f t="shared" si="14"/>
        <v>4.06950000000001</v>
      </c>
      <c r="W33" s="20">
        <f t="shared" si="14"/>
        <v>6.4564</v>
      </c>
      <c r="X33" s="20">
        <f t="shared" si="14"/>
        <v>11.8586</v>
      </c>
      <c r="Y33" s="20">
        <f t="shared" si="14"/>
        <v>9.26259999999999</v>
      </c>
      <c r="Z33" s="20">
        <f t="shared" si="14"/>
        <v>8.45280000000001</v>
      </c>
      <c r="AA33" s="20">
        <f t="shared" si="14"/>
        <v>5.66760000000001</v>
      </c>
      <c r="AB33" s="23">
        <f t="shared" si="14"/>
        <v>178.480999999999</v>
      </c>
      <c r="AC33" s="24">
        <f>AB33/AB31</f>
        <v>0.0640359500574051</v>
      </c>
    </row>
    <row r="34" s="1" customFormat="1" ht="20" hidden="1" customHeight="1" spans="1:28">
      <c r="A34" s="15">
        <v>46184</v>
      </c>
      <c r="B34" s="16">
        <v>4303121811816</v>
      </c>
      <c r="C34" s="17" t="s">
        <v>37</v>
      </c>
      <c r="D34" s="18">
        <v>112.21</v>
      </c>
      <c r="E34" s="18">
        <v>115.89</v>
      </c>
      <c r="F34" s="18">
        <v>115.72</v>
      </c>
      <c r="G34" s="18">
        <v>118.54</v>
      </c>
      <c r="H34" s="18">
        <v>113.65</v>
      </c>
      <c r="I34" s="18">
        <v>111.25</v>
      </c>
      <c r="J34" s="18">
        <v>103.21</v>
      </c>
      <c r="K34" s="18">
        <v>105.33</v>
      </c>
      <c r="L34" s="18">
        <v>114.52</v>
      </c>
      <c r="M34" s="18">
        <v>116.85</v>
      </c>
      <c r="N34" s="18">
        <v>114.33</v>
      </c>
      <c r="O34" s="18">
        <v>107.54</v>
      </c>
      <c r="P34" s="18">
        <v>107.84</v>
      </c>
      <c r="Q34" s="18">
        <v>116.33</v>
      </c>
      <c r="R34" s="18">
        <v>111.21</v>
      </c>
      <c r="S34" s="18">
        <v>116.21</v>
      </c>
      <c r="T34" s="18">
        <v>114.33</v>
      </c>
      <c r="U34" s="18">
        <v>114.51</v>
      </c>
      <c r="V34" s="18">
        <v>114.22</v>
      </c>
      <c r="W34" s="18">
        <v>111.33</v>
      </c>
      <c r="X34" s="18">
        <v>115.11</v>
      </c>
      <c r="Y34" s="18">
        <v>114.31</v>
      </c>
      <c r="Z34" s="18">
        <v>114.21</v>
      </c>
      <c r="AA34" s="18">
        <v>110.33</v>
      </c>
      <c r="AB34" s="22">
        <f t="shared" ref="AB34:AB38" si="15">SUM(D34:AA34)</f>
        <v>2708.98</v>
      </c>
    </row>
    <row r="35" s="1" customFormat="1" ht="20" customHeight="1" spans="1:29">
      <c r="A35" s="15"/>
      <c r="B35" s="16"/>
      <c r="C35" s="17" t="s">
        <v>38</v>
      </c>
      <c r="D35" s="19">
        <v>111.2056</v>
      </c>
      <c r="E35" s="19">
        <v>116.783</v>
      </c>
      <c r="F35" s="19">
        <v>116.7338</v>
      </c>
      <c r="G35" s="19">
        <v>117.8039</v>
      </c>
      <c r="H35" s="19">
        <v>111.774</v>
      </c>
      <c r="I35" s="19">
        <v>110.6635</v>
      </c>
      <c r="J35" s="19">
        <v>106.1192</v>
      </c>
      <c r="K35" s="19">
        <v>106.1931</v>
      </c>
      <c r="L35" s="19">
        <v>112.0358</v>
      </c>
      <c r="M35" s="19">
        <v>110.4946</v>
      </c>
      <c r="N35" s="19">
        <v>108.6427</v>
      </c>
      <c r="O35" s="19">
        <v>108.679</v>
      </c>
      <c r="P35" s="19">
        <v>109.7571</v>
      </c>
      <c r="Q35" s="19">
        <v>110.9163</v>
      </c>
      <c r="R35" s="19">
        <v>110.6635</v>
      </c>
      <c r="S35" s="19">
        <v>115.544</v>
      </c>
      <c r="T35" s="19">
        <v>112.2419</v>
      </c>
      <c r="U35" s="19">
        <v>114.041</v>
      </c>
      <c r="V35" s="19">
        <v>111.892</v>
      </c>
      <c r="W35" s="19">
        <v>106.8126</v>
      </c>
      <c r="X35" s="19">
        <v>113.1557</v>
      </c>
      <c r="Y35" s="19">
        <v>116.0772</v>
      </c>
      <c r="Z35" s="19">
        <v>116.82</v>
      </c>
      <c r="AA35" s="19">
        <v>114.37</v>
      </c>
      <c r="AB35" s="22">
        <f t="shared" si="15"/>
        <v>2689.4195</v>
      </c>
      <c r="AC35" s="21">
        <f>MAX(D35:AA35)</f>
        <v>117.8039</v>
      </c>
    </row>
    <row r="36" s="1" customFormat="1" ht="20" hidden="1" customHeight="1" spans="1:28">
      <c r="A36" s="15"/>
      <c r="B36" s="16"/>
      <c r="C36" s="17" t="s">
        <v>39</v>
      </c>
      <c r="D36" s="20">
        <f t="shared" ref="D36:AB36" si="16">D34-D35</f>
        <v>1.00439999999999</v>
      </c>
      <c r="E36" s="20">
        <f t="shared" si="16"/>
        <v>-0.893000000000001</v>
      </c>
      <c r="F36" s="20">
        <f t="shared" si="16"/>
        <v>-1.0138</v>
      </c>
      <c r="G36" s="20">
        <f t="shared" si="16"/>
        <v>0.736100000000008</v>
      </c>
      <c r="H36" s="20">
        <f t="shared" si="16"/>
        <v>1.876</v>
      </c>
      <c r="I36" s="20">
        <f t="shared" si="16"/>
        <v>0.586500000000001</v>
      </c>
      <c r="J36" s="20">
        <f t="shared" si="16"/>
        <v>-2.90920000000001</v>
      </c>
      <c r="K36" s="20">
        <f t="shared" si="16"/>
        <v>-0.863100000000003</v>
      </c>
      <c r="L36" s="20">
        <f t="shared" si="16"/>
        <v>2.4842</v>
      </c>
      <c r="M36" s="20">
        <f t="shared" si="16"/>
        <v>6.35539999999999</v>
      </c>
      <c r="N36" s="20">
        <f t="shared" si="16"/>
        <v>5.68729999999999</v>
      </c>
      <c r="O36" s="20">
        <f t="shared" si="16"/>
        <v>-1.139</v>
      </c>
      <c r="P36" s="20">
        <f t="shared" si="16"/>
        <v>-1.91709999999999</v>
      </c>
      <c r="Q36" s="20">
        <f t="shared" si="16"/>
        <v>5.41369999999999</v>
      </c>
      <c r="R36" s="20">
        <f t="shared" si="16"/>
        <v>0.546499999999995</v>
      </c>
      <c r="S36" s="20">
        <f t="shared" si="16"/>
        <v>0.665999999999997</v>
      </c>
      <c r="T36" s="20">
        <f t="shared" si="16"/>
        <v>2.0881</v>
      </c>
      <c r="U36" s="20">
        <f t="shared" si="16"/>
        <v>0.469000000000008</v>
      </c>
      <c r="V36" s="20">
        <f t="shared" si="16"/>
        <v>2.328</v>
      </c>
      <c r="W36" s="20">
        <f t="shared" si="16"/>
        <v>4.51739999999999</v>
      </c>
      <c r="X36" s="20">
        <f t="shared" si="16"/>
        <v>1.9543</v>
      </c>
      <c r="Y36" s="20">
        <f t="shared" si="16"/>
        <v>-1.7672</v>
      </c>
      <c r="Z36" s="20">
        <f t="shared" si="16"/>
        <v>-2.61</v>
      </c>
      <c r="AA36" s="20">
        <f t="shared" si="16"/>
        <v>-4.04000000000001</v>
      </c>
      <c r="AB36" s="23">
        <f t="shared" si="16"/>
        <v>19.5604999999991</v>
      </c>
    </row>
    <row r="37" s="1" customFormat="1" ht="20" hidden="1" customHeight="1" spans="1:28">
      <c r="A37" s="15">
        <v>46185</v>
      </c>
      <c r="B37" s="16">
        <v>4303121811816</v>
      </c>
      <c r="C37" s="17" t="s">
        <v>37</v>
      </c>
      <c r="D37" s="18">
        <v>111.62</v>
      </c>
      <c r="E37" s="18">
        <v>114.66</v>
      </c>
      <c r="F37" s="18">
        <v>115.66</v>
      </c>
      <c r="G37" s="18">
        <v>118.62</v>
      </c>
      <c r="H37" s="18">
        <v>113.54</v>
      </c>
      <c r="I37" s="18">
        <v>111.31</v>
      </c>
      <c r="J37" s="18">
        <v>103.33</v>
      </c>
      <c r="K37" s="18">
        <v>105.41</v>
      </c>
      <c r="L37" s="18">
        <v>114.62</v>
      </c>
      <c r="M37" s="18">
        <v>116.74</v>
      </c>
      <c r="N37" s="18">
        <v>114.21</v>
      </c>
      <c r="O37" s="18">
        <v>107.66</v>
      </c>
      <c r="P37" s="18">
        <v>107.68</v>
      </c>
      <c r="Q37" s="18">
        <v>115.98</v>
      </c>
      <c r="R37" s="18">
        <v>111.31</v>
      </c>
      <c r="S37" s="18">
        <v>116.33</v>
      </c>
      <c r="T37" s="18">
        <v>114.42</v>
      </c>
      <c r="U37" s="18">
        <v>114.62</v>
      </c>
      <c r="V37" s="18">
        <v>113.99</v>
      </c>
      <c r="W37" s="18">
        <v>111.21</v>
      </c>
      <c r="X37" s="18">
        <v>114.98</v>
      </c>
      <c r="Y37" s="18">
        <v>114.28</v>
      </c>
      <c r="Z37" s="18">
        <v>113.65</v>
      </c>
      <c r="AA37" s="18">
        <v>110.21</v>
      </c>
      <c r="AB37" s="22">
        <f t="shared" si="15"/>
        <v>2706.04</v>
      </c>
    </row>
    <row r="38" s="1" customFormat="1" ht="20" customHeight="1" spans="1:29">
      <c r="A38" s="15"/>
      <c r="B38" s="16"/>
      <c r="C38" s="17" t="s">
        <v>38</v>
      </c>
      <c r="D38" s="20">
        <v>116.8746</v>
      </c>
      <c r="E38" s="20">
        <v>121.8448</v>
      </c>
      <c r="F38" s="20">
        <v>120.8785</v>
      </c>
      <c r="G38" s="20">
        <v>120.8029</v>
      </c>
      <c r="H38" s="20">
        <v>119.034</v>
      </c>
      <c r="I38" s="20">
        <v>117.6982</v>
      </c>
      <c r="J38" s="20">
        <v>110.3802</v>
      </c>
      <c r="K38" s="20">
        <v>110.9363</v>
      </c>
      <c r="L38" s="20">
        <v>116.9995</v>
      </c>
      <c r="M38" s="20">
        <v>111.5893</v>
      </c>
      <c r="N38" s="20">
        <v>112.8916</v>
      </c>
      <c r="O38" s="20">
        <v>111.3271</v>
      </c>
      <c r="P38" s="20">
        <v>110.6371</v>
      </c>
      <c r="Q38" s="20">
        <v>114.9879</v>
      </c>
      <c r="R38" s="20">
        <v>117.6085</v>
      </c>
      <c r="S38" s="20">
        <v>117.2213</v>
      </c>
      <c r="T38" s="20">
        <v>118.8018</v>
      </c>
      <c r="U38" s="20">
        <v>118.6926</v>
      </c>
      <c r="V38" s="20">
        <v>114.1747</v>
      </c>
      <c r="W38" s="20">
        <v>108.1274</v>
      </c>
      <c r="X38" s="20">
        <v>115.6338</v>
      </c>
      <c r="Y38" s="20">
        <v>111.8674</v>
      </c>
      <c r="Z38" s="20">
        <v>114.2846</v>
      </c>
      <c r="AA38" s="20">
        <v>108.4916</v>
      </c>
      <c r="AB38" s="22">
        <f t="shared" si="15"/>
        <v>2761.7857</v>
      </c>
      <c r="AC38" s="21">
        <f>MAX(D38:AA38)</f>
        <v>121.8448</v>
      </c>
    </row>
    <row r="39" s="1" customFormat="1" ht="20" hidden="1" customHeight="1" spans="1:28">
      <c r="A39" s="15"/>
      <c r="B39" s="16"/>
      <c r="C39" s="17" t="s">
        <v>39</v>
      </c>
      <c r="D39" s="20">
        <f t="shared" ref="D39:AB39" si="17">D37-D38</f>
        <v>-5.2546</v>
      </c>
      <c r="E39" s="20">
        <f t="shared" si="17"/>
        <v>-7.18480000000001</v>
      </c>
      <c r="F39" s="20">
        <f t="shared" si="17"/>
        <v>-5.21850000000001</v>
      </c>
      <c r="G39" s="20">
        <f t="shared" si="17"/>
        <v>-2.18289999999999</v>
      </c>
      <c r="H39" s="20">
        <f t="shared" si="17"/>
        <v>-5.494</v>
      </c>
      <c r="I39" s="20">
        <f t="shared" si="17"/>
        <v>-6.3882</v>
      </c>
      <c r="J39" s="20">
        <f t="shared" si="17"/>
        <v>-7.0502</v>
      </c>
      <c r="K39" s="20">
        <f t="shared" si="17"/>
        <v>-5.52630000000001</v>
      </c>
      <c r="L39" s="20">
        <f t="shared" si="17"/>
        <v>-2.37949999999999</v>
      </c>
      <c r="M39" s="20">
        <f t="shared" si="17"/>
        <v>5.1507</v>
      </c>
      <c r="N39" s="20">
        <f t="shared" si="17"/>
        <v>1.3184</v>
      </c>
      <c r="O39" s="20">
        <f t="shared" si="17"/>
        <v>-3.6671</v>
      </c>
      <c r="P39" s="20">
        <f t="shared" si="17"/>
        <v>-2.9571</v>
      </c>
      <c r="Q39" s="20">
        <f t="shared" si="17"/>
        <v>0.992100000000008</v>
      </c>
      <c r="R39" s="20">
        <f t="shared" si="17"/>
        <v>-6.2985</v>
      </c>
      <c r="S39" s="20">
        <f t="shared" si="17"/>
        <v>-0.891300000000001</v>
      </c>
      <c r="T39" s="20">
        <f t="shared" si="17"/>
        <v>-4.3818</v>
      </c>
      <c r="U39" s="20">
        <f t="shared" si="17"/>
        <v>-4.07259999999999</v>
      </c>
      <c r="V39" s="20">
        <f t="shared" si="17"/>
        <v>-0.184700000000007</v>
      </c>
      <c r="W39" s="20">
        <f t="shared" si="17"/>
        <v>3.0826</v>
      </c>
      <c r="X39" s="20">
        <f t="shared" si="17"/>
        <v>-0.65379999999999</v>
      </c>
      <c r="Y39" s="20">
        <f t="shared" si="17"/>
        <v>2.4126</v>
      </c>
      <c r="Z39" s="20">
        <f t="shared" si="17"/>
        <v>-0.634599999999992</v>
      </c>
      <c r="AA39" s="20">
        <f t="shared" si="17"/>
        <v>1.71839999999999</v>
      </c>
      <c r="AB39" s="22">
        <f t="shared" si="17"/>
        <v>-55.7456999999995</v>
      </c>
    </row>
    <row r="40" s="1" customFormat="1" ht="20" hidden="1" customHeight="1" spans="1:28">
      <c r="A40" s="15">
        <v>46186</v>
      </c>
      <c r="B40" s="16">
        <v>4303121811816</v>
      </c>
      <c r="C40" s="17" t="s">
        <v>37</v>
      </c>
      <c r="D40" s="18">
        <v>112.32</v>
      </c>
      <c r="E40" s="18">
        <v>114.81</v>
      </c>
      <c r="F40" s="18">
        <v>116.18</v>
      </c>
      <c r="G40" s="18">
        <v>118.77</v>
      </c>
      <c r="H40" s="18">
        <v>114.58</v>
      </c>
      <c r="I40" s="18">
        <v>114.33</v>
      </c>
      <c r="J40" s="18">
        <v>108.62</v>
      </c>
      <c r="K40" s="18">
        <v>108.89</v>
      </c>
      <c r="L40" s="18">
        <v>118.62</v>
      </c>
      <c r="M40" s="18">
        <v>117.62</v>
      </c>
      <c r="N40" s="18">
        <v>114.45</v>
      </c>
      <c r="O40" s="18">
        <v>108.46</v>
      </c>
      <c r="P40" s="18">
        <v>107.71</v>
      </c>
      <c r="Q40" s="18">
        <v>107.66</v>
      </c>
      <c r="R40" s="18">
        <v>111.68</v>
      </c>
      <c r="S40" s="18">
        <v>117.34</v>
      </c>
      <c r="T40" s="18">
        <v>115.41</v>
      </c>
      <c r="U40" s="18">
        <v>116.85</v>
      </c>
      <c r="V40" s="18">
        <v>114.88</v>
      </c>
      <c r="W40" s="18">
        <v>112.63</v>
      </c>
      <c r="X40" s="18">
        <v>115.21</v>
      </c>
      <c r="Y40" s="18">
        <v>116.84</v>
      </c>
      <c r="Z40" s="18">
        <v>116.21</v>
      </c>
      <c r="AA40" s="18">
        <v>110.45</v>
      </c>
      <c r="AB40" s="22">
        <f t="shared" ref="AB40:AB44" si="18">SUM(D40:AA40)</f>
        <v>2730.52</v>
      </c>
    </row>
    <row r="41" s="1" customFormat="1" ht="20" customHeight="1" spans="1:29">
      <c r="A41" s="15"/>
      <c r="B41" s="16"/>
      <c r="C41" s="17" t="s">
        <v>38</v>
      </c>
      <c r="D41" s="19">
        <v>106.6085</v>
      </c>
      <c r="E41" s="19">
        <v>112.17</v>
      </c>
      <c r="F41" s="19">
        <v>117.002</v>
      </c>
      <c r="G41" s="19">
        <v>112.8723</v>
      </c>
      <c r="H41" s="19">
        <v>112.3954</v>
      </c>
      <c r="I41" s="19">
        <v>110.294</v>
      </c>
      <c r="J41" s="19">
        <v>107.0731</v>
      </c>
      <c r="K41" s="19">
        <v>107.3001</v>
      </c>
      <c r="L41" s="19">
        <v>114.701</v>
      </c>
      <c r="M41" s="19">
        <v>113.9125</v>
      </c>
      <c r="N41" s="19">
        <v>111.3243</v>
      </c>
      <c r="O41" s="19">
        <v>110.5016</v>
      </c>
      <c r="P41" s="19">
        <v>108.3016</v>
      </c>
      <c r="Q41" s="19">
        <v>111.7494</v>
      </c>
      <c r="R41" s="19">
        <v>113.5887</v>
      </c>
      <c r="S41" s="19">
        <v>115.2114</v>
      </c>
      <c r="T41" s="19">
        <v>114.0956</v>
      </c>
      <c r="U41" s="19">
        <v>111.797</v>
      </c>
      <c r="V41" s="19">
        <v>110.2042</v>
      </c>
      <c r="W41" s="19">
        <v>106.2628</v>
      </c>
      <c r="X41" s="19">
        <v>110.528</v>
      </c>
      <c r="Y41" s="19">
        <v>111.0929</v>
      </c>
      <c r="Z41" s="19">
        <v>108.3984</v>
      </c>
      <c r="AA41" s="19">
        <v>104.7605</v>
      </c>
      <c r="AB41" s="22">
        <f t="shared" si="18"/>
        <v>2662.1453</v>
      </c>
      <c r="AC41" s="21">
        <f>MAX(D41:AA41)</f>
        <v>117.002</v>
      </c>
    </row>
    <row r="42" s="1" customFormat="1" ht="20" hidden="1" customHeight="1" spans="1:28">
      <c r="A42" s="15"/>
      <c r="B42" s="16"/>
      <c r="C42" s="17" t="s">
        <v>39</v>
      </c>
      <c r="D42" s="20">
        <f t="shared" ref="D42:AB42" si="19">D40-D41</f>
        <v>5.71149999999999</v>
      </c>
      <c r="E42" s="20">
        <f t="shared" si="19"/>
        <v>2.64</v>
      </c>
      <c r="F42" s="20">
        <f t="shared" si="19"/>
        <v>-0.821999999999989</v>
      </c>
      <c r="G42" s="20">
        <f t="shared" si="19"/>
        <v>5.8977</v>
      </c>
      <c r="H42" s="20">
        <f t="shared" si="19"/>
        <v>2.1846</v>
      </c>
      <c r="I42" s="20">
        <f t="shared" si="19"/>
        <v>4.036</v>
      </c>
      <c r="J42" s="20">
        <f t="shared" si="19"/>
        <v>1.54690000000001</v>
      </c>
      <c r="K42" s="20">
        <f t="shared" si="19"/>
        <v>1.5899</v>
      </c>
      <c r="L42" s="20">
        <f t="shared" si="19"/>
        <v>3.91900000000001</v>
      </c>
      <c r="M42" s="20">
        <f t="shared" si="19"/>
        <v>3.70750000000001</v>
      </c>
      <c r="N42" s="20">
        <f t="shared" si="19"/>
        <v>3.12570000000001</v>
      </c>
      <c r="O42" s="20">
        <f t="shared" si="19"/>
        <v>-2.0416</v>
      </c>
      <c r="P42" s="20">
        <f t="shared" si="19"/>
        <v>-0.5916</v>
      </c>
      <c r="Q42" s="20">
        <f t="shared" si="19"/>
        <v>-4.0894</v>
      </c>
      <c r="R42" s="20">
        <f t="shared" si="19"/>
        <v>-1.9087</v>
      </c>
      <c r="S42" s="20">
        <f t="shared" si="19"/>
        <v>2.12860000000001</v>
      </c>
      <c r="T42" s="20">
        <f t="shared" si="19"/>
        <v>1.31439999999999</v>
      </c>
      <c r="U42" s="20">
        <f t="shared" si="19"/>
        <v>5.053</v>
      </c>
      <c r="V42" s="20">
        <f t="shared" si="19"/>
        <v>4.6758</v>
      </c>
      <c r="W42" s="20">
        <f t="shared" si="19"/>
        <v>6.3672</v>
      </c>
      <c r="X42" s="20">
        <f t="shared" si="19"/>
        <v>4.68199999999999</v>
      </c>
      <c r="Y42" s="20">
        <f t="shared" si="19"/>
        <v>5.7471</v>
      </c>
      <c r="Z42" s="20">
        <f t="shared" si="19"/>
        <v>7.8116</v>
      </c>
      <c r="AA42" s="20">
        <f t="shared" si="19"/>
        <v>5.68950000000001</v>
      </c>
      <c r="AB42" s="22">
        <f t="shared" si="19"/>
        <v>68.3747000000003</v>
      </c>
    </row>
    <row r="43" s="1" customFormat="1" ht="20" hidden="1" customHeight="1" spans="1:28">
      <c r="A43" s="15">
        <v>46187</v>
      </c>
      <c r="B43" s="16">
        <v>4303121811816</v>
      </c>
      <c r="C43" s="17" t="s">
        <v>37</v>
      </c>
      <c r="D43" s="18">
        <v>111.32</v>
      </c>
      <c r="E43" s="18">
        <v>113.54</v>
      </c>
      <c r="F43" s="18">
        <v>115.81</v>
      </c>
      <c r="G43" s="18">
        <v>113.33</v>
      </c>
      <c r="H43" s="18">
        <v>113.18</v>
      </c>
      <c r="I43" s="18">
        <v>111.62</v>
      </c>
      <c r="J43" s="18">
        <v>104.31</v>
      </c>
      <c r="K43" s="18">
        <v>96.11</v>
      </c>
      <c r="L43" s="18">
        <v>97.85</v>
      </c>
      <c r="M43" s="18">
        <v>98.74</v>
      </c>
      <c r="N43" s="18">
        <v>93.89</v>
      </c>
      <c r="O43" s="18">
        <v>95.61</v>
      </c>
      <c r="P43" s="18">
        <v>95.11</v>
      </c>
      <c r="Q43" s="18">
        <v>100.21</v>
      </c>
      <c r="R43" s="18">
        <v>98.33</v>
      </c>
      <c r="S43" s="18">
        <v>99.41</v>
      </c>
      <c r="T43" s="18">
        <v>102.77</v>
      </c>
      <c r="U43" s="18">
        <v>101.62</v>
      </c>
      <c r="V43" s="18">
        <v>97.83</v>
      </c>
      <c r="W43" s="18">
        <v>95.33</v>
      </c>
      <c r="X43" s="18">
        <v>99.62</v>
      </c>
      <c r="Y43" s="18">
        <v>97.54</v>
      </c>
      <c r="Z43" s="18">
        <v>94.33</v>
      </c>
      <c r="AA43" s="18">
        <v>93.62</v>
      </c>
      <c r="AB43" s="22">
        <f t="shared" si="18"/>
        <v>2441.03</v>
      </c>
    </row>
    <row r="44" s="1" customFormat="1" ht="20" customHeight="1" spans="1:29">
      <c r="A44" s="15"/>
      <c r="B44" s="16"/>
      <c r="C44" s="17" t="s">
        <v>38</v>
      </c>
      <c r="D44" s="20">
        <v>102.8703</v>
      </c>
      <c r="E44" s="20">
        <v>109.736</v>
      </c>
      <c r="F44" s="20">
        <v>109.0884</v>
      </c>
      <c r="G44" s="20">
        <v>109.5706</v>
      </c>
      <c r="H44" s="20">
        <v>109.0884</v>
      </c>
      <c r="I44" s="20">
        <v>107.5941</v>
      </c>
      <c r="J44" s="20">
        <v>103.6164</v>
      </c>
      <c r="K44" s="20">
        <v>95.2512</v>
      </c>
      <c r="L44" s="20">
        <v>100.2827</v>
      </c>
      <c r="M44" s="20">
        <v>99.2957</v>
      </c>
      <c r="N44" s="20">
        <v>92.1905</v>
      </c>
      <c r="O44" s="20">
        <v>91.131</v>
      </c>
      <c r="P44" s="20">
        <v>90.809</v>
      </c>
      <c r="Q44" s="20">
        <v>98.3858</v>
      </c>
      <c r="R44" s="20">
        <v>98.1464</v>
      </c>
      <c r="S44" s="20">
        <v>94.6932</v>
      </c>
      <c r="T44" s="20">
        <v>96.719</v>
      </c>
      <c r="U44" s="20">
        <v>99.2957</v>
      </c>
      <c r="V44" s="20">
        <v>98.7554</v>
      </c>
      <c r="W44" s="20">
        <v>95.5187</v>
      </c>
      <c r="X44" s="20">
        <v>100.8814</v>
      </c>
      <c r="Y44" s="20">
        <v>102.1627</v>
      </c>
      <c r="Z44" s="20">
        <v>101.4763</v>
      </c>
      <c r="AA44" s="20">
        <v>95.8004</v>
      </c>
      <c r="AB44" s="22">
        <f t="shared" si="18"/>
        <v>2402.3593</v>
      </c>
      <c r="AC44" s="21">
        <f>MAX(D44:AA44)</f>
        <v>109.736</v>
      </c>
    </row>
    <row r="45" s="1" customFormat="1" ht="20" hidden="1" customHeight="1" spans="1:28">
      <c r="A45" s="15"/>
      <c r="B45" s="16"/>
      <c r="C45" s="17" t="s">
        <v>39</v>
      </c>
      <c r="D45" s="20">
        <f t="shared" ref="D45:AB45" si="20">D43-D44</f>
        <v>8.44969999999999</v>
      </c>
      <c r="E45" s="20">
        <f t="shared" si="20"/>
        <v>3.804</v>
      </c>
      <c r="F45" s="20">
        <f t="shared" si="20"/>
        <v>6.72160000000001</v>
      </c>
      <c r="G45" s="20">
        <f t="shared" si="20"/>
        <v>3.7594</v>
      </c>
      <c r="H45" s="20">
        <f t="shared" si="20"/>
        <v>4.09160000000001</v>
      </c>
      <c r="I45" s="20">
        <f t="shared" si="20"/>
        <v>4.02590000000001</v>
      </c>
      <c r="J45" s="20">
        <f t="shared" si="20"/>
        <v>0.693600000000004</v>
      </c>
      <c r="K45" s="20">
        <f t="shared" si="20"/>
        <v>0.858800000000002</v>
      </c>
      <c r="L45" s="20">
        <f t="shared" si="20"/>
        <v>-2.43270000000001</v>
      </c>
      <c r="M45" s="20">
        <f t="shared" si="20"/>
        <v>-0.555700000000002</v>
      </c>
      <c r="N45" s="20">
        <f t="shared" si="20"/>
        <v>1.6995</v>
      </c>
      <c r="O45" s="20">
        <f t="shared" si="20"/>
        <v>4.479</v>
      </c>
      <c r="P45" s="20">
        <f t="shared" si="20"/>
        <v>4.301</v>
      </c>
      <c r="Q45" s="20">
        <f t="shared" si="20"/>
        <v>1.82419999999999</v>
      </c>
      <c r="R45" s="20">
        <f t="shared" si="20"/>
        <v>0.183599999999998</v>
      </c>
      <c r="S45" s="20">
        <f t="shared" si="20"/>
        <v>4.71679999999999</v>
      </c>
      <c r="T45" s="20">
        <f t="shared" si="20"/>
        <v>6.051</v>
      </c>
      <c r="U45" s="20">
        <f t="shared" si="20"/>
        <v>2.32430000000001</v>
      </c>
      <c r="V45" s="20">
        <f t="shared" si="20"/>
        <v>-0.925399999999996</v>
      </c>
      <c r="W45" s="20">
        <f t="shared" si="20"/>
        <v>-0.188699999999997</v>
      </c>
      <c r="X45" s="20">
        <f t="shared" si="20"/>
        <v>-1.26139999999999</v>
      </c>
      <c r="Y45" s="20">
        <f t="shared" si="20"/>
        <v>-4.62269999999999</v>
      </c>
      <c r="Z45" s="20">
        <f t="shared" si="20"/>
        <v>-7.1463</v>
      </c>
      <c r="AA45" s="20">
        <f t="shared" si="20"/>
        <v>-2.18039999999999</v>
      </c>
      <c r="AB45" s="22">
        <f t="shared" si="20"/>
        <v>38.6706999999997</v>
      </c>
    </row>
    <row r="46" s="1" customFormat="1" ht="20" hidden="1" customHeight="1" spans="1:28">
      <c r="A46" s="15">
        <v>46188</v>
      </c>
      <c r="B46" s="16">
        <v>4303121811816</v>
      </c>
      <c r="C46" s="17" t="s">
        <v>37</v>
      </c>
      <c r="D46" s="18">
        <v>93.66</v>
      </c>
      <c r="E46" s="18">
        <v>96.11</v>
      </c>
      <c r="F46" s="18">
        <v>97.84</v>
      </c>
      <c r="G46" s="18">
        <v>95.68</v>
      </c>
      <c r="H46" s="18">
        <v>95.71</v>
      </c>
      <c r="I46" s="18">
        <v>97.66</v>
      </c>
      <c r="J46" s="18">
        <v>98.71</v>
      </c>
      <c r="K46" s="18">
        <v>103.32</v>
      </c>
      <c r="L46" s="18">
        <v>111.62</v>
      </c>
      <c r="M46" s="18">
        <v>114.55</v>
      </c>
      <c r="N46" s="18">
        <v>113.62</v>
      </c>
      <c r="O46" s="18">
        <v>107.55</v>
      </c>
      <c r="P46" s="18">
        <v>106.52</v>
      </c>
      <c r="Q46" s="18">
        <v>106.71</v>
      </c>
      <c r="R46" s="18">
        <v>111.54</v>
      </c>
      <c r="S46" s="18">
        <v>116.54</v>
      </c>
      <c r="T46" s="18">
        <v>115.12</v>
      </c>
      <c r="U46" s="18">
        <v>114.86</v>
      </c>
      <c r="V46" s="18">
        <v>114.89</v>
      </c>
      <c r="W46" s="18">
        <v>112.71</v>
      </c>
      <c r="X46" s="18">
        <v>115.33</v>
      </c>
      <c r="Y46" s="18">
        <v>117.54</v>
      </c>
      <c r="Z46" s="18">
        <v>116.35</v>
      </c>
      <c r="AA46" s="18">
        <v>110.62</v>
      </c>
      <c r="AB46" s="22">
        <f t="shared" ref="AB46:AB50" si="21">SUM(D46:AA46)</f>
        <v>2584.76</v>
      </c>
    </row>
    <row r="47" s="1" customFormat="1" ht="20" customHeight="1" spans="1:29">
      <c r="A47" s="15"/>
      <c r="B47" s="16"/>
      <c r="C47" s="17" t="s">
        <v>38</v>
      </c>
      <c r="D47" s="19">
        <v>97.8613</v>
      </c>
      <c r="E47" s="19">
        <v>101.1948</v>
      </c>
      <c r="F47" s="19">
        <v>101.9198</v>
      </c>
      <c r="G47" s="19">
        <v>100.144</v>
      </c>
      <c r="H47" s="19">
        <v>100.6825</v>
      </c>
      <c r="I47" s="19">
        <v>102.3123</v>
      </c>
      <c r="J47" s="19">
        <v>98.6762</v>
      </c>
      <c r="K47" s="19">
        <v>98.2326</v>
      </c>
      <c r="L47" s="19">
        <v>108.5757</v>
      </c>
      <c r="M47" s="19">
        <v>109.3238</v>
      </c>
      <c r="N47" s="19">
        <v>115.9435</v>
      </c>
      <c r="O47" s="19">
        <v>105.5842</v>
      </c>
      <c r="P47" s="19">
        <v>104.6284</v>
      </c>
      <c r="Q47" s="19">
        <v>112.5168</v>
      </c>
      <c r="R47" s="19">
        <v>112.1278</v>
      </c>
      <c r="S47" s="19">
        <v>114.796</v>
      </c>
      <c r="T47" s="19">
        <v>115.1427</v>
      </c>
      <c r="U47" s="19">
        <v>116.8051</v>
      </c>
      <c r="V47" s="19">
        <v>114.1747</v>
      </c>
      <c r="W47" s="19">
        <v>110.9539</v>
      </c>
      <c r="X47" s="19">
        <v>115.6447</v>
      </c>
      <c r="Y47" s="19">
        <v>115.9383</v>
      </c>
      <c r="Z47" s="19">
        <v>115.1378</v>
      </c>
      <c r="AA47" s="19">
        <v>112.839</v>
      </c>
      <c r="AB47" s="22">
        <f t="shared" si="21"/>
        <v>2601.1559</v>
      </c>
      <c r="AC47" s="21">
        <f>MAX(D47:AA47)</f>
        <v>116.8051</v>
      </c>
    </row>
    <row r="48" s="1" customFormat="1" ht="20" hidden="1" customHeight="1" spans="1:28">
      <c r="A48" s="15"/>
      <c r="B48" s="16"/>
      <c r="C48" s="17" t="s">
        <v>39</v>
      </c>
      <c r="D48" s="20">
        <f t="shared" ref="D48:AB48" si="22">D46-D47</f>
        <v>-4.2013</v>
      </c>
      <c r="E48" s="20">
        <f t="shared" si="22"/>
        <v>-5.0848</v>
      </c>
      <c r="F48" s="20">
        <f t="shared" si="22"/>
        <v>-4.07979999999999</v>
      </c>
      <c r="G48" s="20">
        <f t="shared" si="22"/>
        <v>-4.464</v>
      </c>
      <c r="H48" s="20">
        <f t="shared" si="22"/>
        <v>-4.97250000000001</v>
      </c>
      <c r="I48" s="20">
        <f t="shared" si="22"/>
        <v>-4.6523</v>
      </c>
      <c r="J48" s="20">
        <f t="shared" si="22"/>
        <v>0.0337999999999994</v>
      </c>
      <c r="K48" s="20">
        <f t="shared" si="22"/>
        <v>5.08739999999999</v>
      </c>
      <c r="L48" s="20">
        <f t="shared" si="22"/>
        <v>3.04430000000001</v>
      </c>
      <c r="M48" s="20">
        <f t="shared" si="22"/>
        <v>5.22619999999999</v>
      </c>
      <c r="N48" s="20">
        <f t="shared" si="22"/>
        <v>-2.3235</v>
      </c>
      <c r="O48" s="20">
        <f t="shared" si="22"/>
        <v>1.9658</v>
      </c>
      <c r="P48" s="20">
        <f t="shared" si="22"/>
        <v>1.8916</v>
      </c>
      <c r="Q48" s="20">
        <f t="shared" si="22"/>
        <v>-5.80680000000001</v>
      </c>
      <c r="R48" s="20">
        <f t="shared" si="22"/>
        <v>-0.587799999999987</v>
      </c>
      <c r="S48" s="20">
        <f t="shared" si="22"/>
        <v>1.744</v>
      </c>
      <c r="T48" s="20">
        <f t="shared" si="22"/>
        <v>-0.0227000000000004</v>
      </c>
      <c r="U48" s="20">
        <f t="shared" si="22"/>
        <v>-1.9451</v>
      </c>
      <c r="V48" s="20">
        <f t="shared" si="22"/>
        <v>0.715299999999999</v>
      </c>
      <c r="W48" s="20">
        <f t="shared" si="22"/>
        <v>1.75609999999999</v>
      </c>
      <c r="X48" s="20">
        <f t="shared" si="22"/>
        <v>-0.314700000000002</v>
      </c>
      <c r="Y48" s="20">
        <f t="shared" si="22"/>
        <v>1.60170000000001</v>
      </c>
      <c r="Z48" s="20">
        <f t="shared" si="22"/>
        <v>1.2122</v>
      </c>
      <c r="AA48" s="20">
        <f t="shared" si="22"/>
        <v>-2.21899999999999</v>
      </c>
      <c r="AB48" s="22">
        <f t="shared" si="22"/>
        <v>-16.3959000000004</v>
      </c>
    </row>
    <row r="49" s="1" customFormat="1" ht="20" hidden="1" customHeight="1" spans="1:28">
      <c r="A49" s="15">
        <v>46189</v>
      </c>
      <c r="B49" s="16">
        <v>4303121811816</v>
      </c>
      <c r="C49" s="17" t="s">
        <v>37</v>
      </c>
      <c r="D49" s="18">
        <v>111.33</v>
      </c>
      <c r="E49" s="18">
        <v>116.85</v>
      </c>
      <c r="F49" s="18">
        <v>116.68</v>
      </c>
      <c r="G49" s="18">
        <v>117.58</v>
      </c>
      <c r="H49" s="18">
        <v>111.74</v>
      </c>
      <c r="I49" s="18">
        <v>110.54</v>
      </c>
      <c r="J49" s="18">
        <v>106.33</v>
      </c>
      <c r="K49" s="18">
        <v>106.12</v>
      </c>
      <c r="L49" s="18">
        <v>112.01</v>
      </c>
      <c r="M49" s="18">
        <v>110.54</v>
      </c>
      <c r="N49" s="18">
        <v>108.44</v>
      </c>
      <c r="O49" s="18">
        <v>108.71</v>
      </c>
      <c r="P49" s="18">
        <v>109.54</v>
      </c>
      <c r="Q49" s="18">
        <v>110.66</v>
      </c>
      <c r="R49" s="18">
        <v>110.54</v>
      </c>
      <c r="S49" s="18">
        <v>115.62</v>
      </c>
      <c r="T49" s="18">
        <v>112.31</v>
      </c>
      <c r="U49" s="18">
        <v>114.18</v>
      </c>
      <c r="V49" s="18">
        <v>111.77</v>
      </c>
      <c r="W49" s="18">
        <v>106.66</v>
      </c>
      <c r="X49" s="18">
        <v>113.21</v>
      </c>
      <c r="Y49" s="18">
        <v>116.12</v>
      </c>
      <c r="Z49" s="18">
        <v>116.78</v>
      </c>
      <c r="AA49" s="18">
        <v>114.21</v>
      </c>
      <c r="AB49" s="22">
        <f t="shared" si="21"/>
        <v>2688.47</v>
      </c>
    </row>
    <row r="50" s="1" customFormat="1" ht="20" customHeight="1" spans="1:29">
      <c r="A50" s="15"/>
      <c r="B50" s="16"/>
      <c r="C50" s="17" t="s">
        <v>38</v>
      </c>
      <c r="D50" s="20">
        <v>116.3941</v>
      </c>
      <c r="E50" s="20">
        <v>119.1633</v>
      </c>
      <c r="F50" s="20">
        <v>120.945</v>
      </c>
      <c r="G50" s="20">
        <v>121.2272</v>
      </c>
      <c r="H50" s="20">
        <v>120.5309</v>
      </c>
      <c r="I50" s="20">
        <v>113.2325</v>
      </c>
      <c r="J50" s="20">
        <v>109.0848</v>
      </c>
      <c r="K50" s="20">
        <v>108.9334</v>
      </c>
      <c r="L50" s="20">
        <v>116.6365</v>
      </c>
      <c r="M50" s="20">
        <v>116.0914</v>
      </c>
      <c r="N50" s="20">
        <v>112.1454</v>
      </c>
      <c r="O50" s="20">
        <v>108.8876</v>
      </c>
      <c r="P50" s="20">
        <v>109.1042</v>
      </c>
      <c r="Q50" s="20">
        <v>116.8658</v>
      </c>
      <c r="R50" s="20">
        <v>116.8198</v>
      </c>
      <c r="S50" s="20">
        <v>116.8429</v>
      </c>
      <c r="T50" s="20">
        <v>115.6338</v>
      </c>
      <c r="U50" s="20">
        <v>117.2758</v>
      </c>
      <c r="V50" s="20">
        <v>117.5176</v>
      </c>
      <c r="W50" s="20">
        <v>112.2845</v>
      </c>
      <c r="X50" s="20">
        <v>117.0541</v>
      </c>
      <c r="Y50" s="20">
        <v>117.63</v>
      </c>
      <c r="Z50" s="20">
        <v>115.4613</v>
      </c>
      <c r="AA50" s="20">
        <v>112.0329</v>
      </c>
      <c r="AB50" s="22">
        <f t="shared" si="21"/>
        <v>2767.7948</v>
      </c>
      <c r="AC50" s="21">
        <f>MAX(D50:AA50)</f>
        <v>121.2272</v>
      </c>
    </row>
    <row r="51" s="1" customFormat="1" ht="20" hidden="1" customHeight="1" spans="1:28">
      <c r="A51" s="15"/>
      <c r="B51" s="16"/>
      <c r="C51" s="17" t="s">
        <v>39</v>
      </c>
      <c r="D51" s="20">
        <f t="shared" ref="D51:AB51" si="23">D49-D50</f>
        <v>-5.0641</v>
      </c>
      <c r="E51" s="20">
        <f t="shared" si="23"/>
        <v>-2.31330000000001</v>
      </c>
      <c r="F51" s="20">
        <f t="shared" si="23"/>
        <v>-4.26499999999999</v>
      </c>
      <c r="G51" s="20">
        <f t="shared" si="23"/>
        <v>-3.6472</v>
      </c>
      <c r="H51" s="20">
        <f t="shared" si="23"/>
        <v>-8.79090000000001</v>
      </c>
      <c r="I51" s="20">
        <f t="shared" si="23"/>
        <v>-2.6925</v>
      </c>
      <c r="J51" s="20">
        <f t="shared" si="23"/>
        <v>-2.7548</v>
      </c>
      <c r="K51" s="20">
        <f t="shared" si="23"/>
        <v>-2.8134</v>
      </c>
      <c r="L51" s="20">
        <f t="shared" si="23"/>
        <v>-4.62649999999999</v>
      </c>
      <c r="M51" s="20">
        <f t="shared" si="23"/>
        <v>-5.55139999999999</v>
      </c>
      <c r="N51" s="20">
        <f t="shared" si="23"/>
        <v>-3.7054</v>
      </c>
      <c r="O51" s="20">
        <f t="shared" si="23"/>
        <v>-0.177600000000012</v>
      </c>
      <c r="P51" s="20">
        <f t="shared" si="23"/>
        <v>0.4358</v>
      </c>
      <c r="Q51" s="20">
        <f t="shared" si="23"/>
        <v>-6.2058</v>
      </c>
      <c r="R51" s="20">
        <f t="shared" si="23"/>
        <v>-6.27979999999999</v>
      </c>
      <c r="S51" s="20">
        <f t="shared" si="23"/>
        <v>-1.2229</v>
      </c>
      <c r="T51" s="20">
        <f t="shared" si="23"/>
        <v>-3.32379999999999</v>
      </c>
      <c r="U51" s="20">
        <f t="shared" si="23"/>
        <v>-3.0958</v>
      </c>
      <c r="V51" s="20">
        <f t="shared" si="23"/>
        <v>-5.74760000000001</v>
      </c>
      <c r="W51" s="20">
        <f t="shared" si="23"/>
        <v>-5.6245</v>
      </c>
      <c r="X51" s="20">
        <f t="shared" si="23"/>
        <v>-3.84410000000001</v>
      </c>
      <c r="Y51" s="20">
        <f t="shared" si="23"/>
        <v>-1.50999999999999</v>
      </c>
      <c r="Z51" s="20">
        <f t="shared" si="23"/>
        <v>1.31870000000001</v>
      </c>
      <c r="AA51" s="20">
        <f t="shared" si="23"/>
        <v>2.1771</v>
      </c>
      <c r="AB51" s="22">
        <f t="shared" si="23"/>
        <v>-79.3248000000003</v>
      </c>
    </row>
    <row r="52" s="1" customFormat="1" ht="20" hidden="1" customHeight="1" spans="1:28">
      <c r="A52" s="15">
        <v>46190</v>
      </c>
      <c r="B52" s="16">
        <v>4303121811816</v>
      </c>
      <c r="C52" s="17" t="s">
        <v>37</v>
      </c>
      <c r="D52" s="18">
        <v>111.28</v>
      </c>
      <c r="E52" s="18">
        <v>116.77</v>
      </c>
      <c r="F52" s="18">
        <v>116.71</v>
      </c>
      <c r="G52" s="18">
        <v>116.89</v>
      </c>
      <c r="H52" s="18">
        <v>111.62</v>
      </c>
      <c r="I52" s="18">
        <v>110.44</v>
      </c>
      <c r="J52" s="18">
        <v>106.28</v>
      </c>
      <c r="K52" s="18">
        <v>106.33</v>
      </c>
      <c r="L52" s="18">
        <v>111.89</v>
      </c>
      <c r="M52" s="18">
        <v>110.52</v>
      </c>
      <c r="N52" s="18">
        <v>108.31</v>
      </c>
      <c r="O52" s="18">
        <v>108.68</v>
      </c>
      <c r="P52" s="18">
        <v>109.62</v>
      </c>
      <c r="Q52" s="18">
        <v>110.58</v>
      </c>
      <c r="R52" s="18">
        <v>110.41</v>
      </c>
      <c r="S52" s="18">
        <v>115.31</v>
      </c>
      <c r="T52" s="18">
        <v>112.28</v>
      </c>
      <c r="U52" s="18">
        <v>114.22</v>
      </c>
      <c r="V52" s="18">
        <v>111.84</v>
      </c>
      <c r="W52" s="18">
        <v>106.54</v>
      </c>
      <c r="X52" s="18">
        <v>113.32</v>
      </c>
      <c r="Y52" s="18">
        <v>116.11</v>
      </c>
      <c r="Z52" s="18">
        <v>116.58</v>
      </c>
      <c r="AA52" s="18">
        <v>113.89</v>
      </c>
      <c r="AB52" s="22">
        <f t="shared" ref="AB52:AB56" si="24">SUM(D52:AA52)</f>
        <v>2686.42</v>
      </c>
    </row>
    <row r="53" s="1" customFormat="1" ht="20" customHeight="1" spans="1:29">
      <c r="A53" s="15"/>
      <c r="B53" s="16"/>
      <c r="C53" s="17" t="s">
        <v>38</v>
      </c>
      <c r="D53" s="19">
        <v>119.9264</v>
      </c>
      <c r="E53" s="19">
        <v>121.6353</v>
      </c>
      <c r="F53" s="19">
        <v>121.3085</v>
      </c>
      <c r="G53" s="19">
        <v>121.5185</v>
      </c>
      <c r="H53" s="19">
        <v>113.2087</v>
      </c>
      <c r="I53" s="19">
        <v>113.1297</v>
      </c>
      <c r="J53" s="19">
        <v>108.8736</v>
      </c>
      <c r="K53" s="19">
        <v>108.1714</v>
      </c>
      <c r="L53" s="19">
        <v>116.505</v>
      </c>
      <c r="M53" s="19">
        <v>117.3727</v>
      </c>
      <c r="N53" s="19">
        <v>114.9579</v>
      </c>
      <c r="O53" s="19">
        <v>110.2904</v>
      </c>
      <c r="P53" s="19">
        <v>108.2066</v>
      </c>
      <c r="Q53" s="19">
        <v>112.7561</v>
      </c>
      <c r="R53" s="19">
        <v>115.0037</v>
      </c>
      <c r="S53" s="19">
        <v>118.2139</v>
      </c>
      <c r="T53" s="19">
        <v>117.8353</v>
      </c>
      <c r="U53" s="19">
        <v>117.4976</v>
      </c>
      <c r="V53" s="19">
        <v>117.216</v>
      </c>
      <c r="W53" s="19">
        <v>107.9743</v>
      </c>
      <c r="X53" s="19">
        <v>111.7935</v>
      </c>
      <c r="Y53" s="19">
        <v>114.4845</v>
      </c>
      <c r="Z53" s="19">
        <v>112.5908</v>
      </c>
      <c r="AA53" s="19">
        <v>109.2273</v>
      </c>
      <c r="AB53" s="22">
        <f t="shared" si="24"/>
        <v>2749.6977</v>
      </c>
      <c r="AC53" s="21">
        <f>MAX(D53:AA53)</f>
        <v>121.6353</v>
      </c>
    </row>
    <row r="54" s="1" customFormat="1" ht="20" hidden="1" customHeight="1" spans="1:28">
      <c r="A54" s="15"/>
      <c r="B54" s="16"/>
      <c r="C54" s="17" t="s">
        <v>39</v>
      </c>
      <c r="D54" s="20">
        <f t="shared" ref="D54:AB54" si="25">D52-D53</f>
        <v>-8.6464</v>
      </c>
      <c r="E54" s="20">
        <f t="shared" si="25"/>
        <v>-4.8653</v>
      </c>
      <c r="F54" s="20">
        <f t="shared" si="25"/>
        <v>-4.5985</v>
      </c>
      <c r="G54" s="20">
        <f t="shared" si="25"/>
        <v>-4.6285</v>
      </c>
      <c r="H54" s="20">
        <f t="shared" si="25"/>
        <v>-1.58869999999999</v>
      </c>
      <c r="I54" s="20">
        <f t="shared" si="25"/>
        <v>-2.6897</v>
      </c>
      <c r="J54" s="20">
        <f t="shared" si="25"/>
        <v>-2.59359999999999</v>
      </c>
      <c r="K54" s="20">
        <f t="shared" si="25"/>
        <v>-1.84140000000001</v>
      </c>
      <c r="L54" s="20">
        <f t="shared" si="25"/>
        <v>-4.61499999999999</v>
      </c>
      <c r="M54" s="20">
        <f t="shared" si="25"/>
        <v>-6.8527</v>
      </c>
      <c r="N54" s="20">
        <f t="shared" si="25"/>
        <v>-6.64789999999999</v>
      </c>
      <c r="O54" s="20">
        <f t="shared" si="25"/>
        <v>-1.6104</v>
      </c>
      <c r="P54" s="20">
        <f t="shared" si="25"/>
        <v>1.41340000000001</v>
      </c>
      <c r="Q54" s="20">
        <f t="shared" si="25"/>
        <v>-2.17610000000001</v>
      </c>
      <c r="R54" s="20">
        <f t="shared" si="25"/>
        <v>-4.5937</v>
      </c>
      <c r="S54" s="20">
        <f t="shared" si="25"/>
        <v>-2.90389999999999</v>
      </c>
      <c r="T54" s="20">
        <f t="shared" si="25"/>
        <v>-5.5553</v>
      </c>
      <c r="U54" s="20">
        <f t="shared" si="25"/>
        <v>-3.27760000000001</v>
      </c>
      <c r="V54" s="20">
        <f t="shared" si="25"/>
        <v>-5.37599999999999</v>
      </c>
      <c r="W54" s="20">
        <f t="shared" si="25"/>
        <v>-1.43429999999999</v>
      </c>
      <c r="X54" s="20">
        <f t="shared" si="25"/>
        <v>1.5265</v>
      </c>
      <c r="Y54" s="20">
        <f t="shared" si="25"/>
        <v>1.6255</v>
      </c>
      <c r="Z54" s="20">
        <f t="shared" si="25"/>
        <v>3.9892</v>
      </c>
      <c r="AA54" s="20">
        <f t="shared" si="25"/>
        <v>4.6627</v>
      </c>
      <c r="AB54" s="22">
        <f t="shared" si="25"/>
        <v>-63.2776999999996</v>
      </c>
    </row>
    <row r="55" s="1" customFormat="1" ht="20" hidden="1" customHeight="1" spans="1:28">
      <c r="A55" s="15">
        <v>46191</v>
      </c>
      <c r="B55" s="16">
        <v>4303121811816</v>
      </c>
      <c r="C55" s="17" t="s">
        <v>37</v>
      </c>
      <c r="D55" s="18">
        <v>111.33</v>
      </c>
      <c r="E55" s="18">
        <v>115.68</v>
      </c>
      <c r="F55" s="18">
        <v>116.21</v>
      </c>
      <c r="G55" s="18">
        <v>116.78</v>
      </c>
      <c r="H55" s="18">
        <v>111.51</v>
      </c>
      <c r="I55" s="18">
        <v>110.32</v>
      </c>
      <c r="J55" s="18">
        <v>106.31</v>
      </c>
      <c r="K55" s="18">
        <v>106.28</v>
      </c>
      <c r="L55" s="18">
        <v>111.62</v>
      </c>
      <c r="M55" s="18">
        <v>110.62</v>
      </c>
      <c r="N55" s="18">
        <v>108.33</v>
      </c>
      <c r="O55" s="18">
        <v>108.54</v>
      </c>
      <c r="P55" s="18">
        <v>108.71</v>
      </c>
      <c r="Q55" s="18">
        <v>110.85</v>
      </c>
      <c r="R55" s="18">
        <v>110.61</v>
      </c>
      <c r="S55" s="18">
        <v>100.62</v>
      </c>
      <c r="T55" s="18">
        <v>72.33</v>
      </c>
      <c r="U55" s="18">
        <v>60.32</v>
      </c>
      <c r="V55" s="18">
        <v>60.11</v>
      </c>
      <c r="W55" s="18">
        <v>44.32</v>
      </c>
      <c r="X55" s="18">
        <v>40.21</v>
      </c>
      <c r="Y55" s="18">
        <v>39.33</v>
      </c>
      <c r="Z55" s="18">
        <v>37.35</v>
      </c>
      <c r="AA55" s="18">
        <v>33.62</v>
      </c>
      <c r="AB55" s="22">
        <f t="shared" si="24"/>
        <v>2151.91</v>
      </c>
    </row>
    <row r="56" s="1" customFormat="1" ht="20" customHeight="1" spans="1:29">
      <c r="A56" s="15"/>
      <c r="B56" s="16"/>
      <c r="C56" s="17" t="s">
        <v>38</v>
      </c>
      <c r="D56" s="20">
        <v>109.7343</v>
      </c>
      <c r="E56" s="20">
        <v>114.1149</v>
      </c>
      <c r="F56" s="20">
        <v>113.7629</v>
      </c>
      <c r="G56" s="20">
        <v>112.7861</v>
      </c>
      <c r="H56" s="20">
        <v>110.4189</v>
      </c>
      <c r="I56" s="20">
        <v>108.4635</v>
      </c>
      <c r="J56" s="20">
        <v>106.355</v>
      </c>
      <c r="K56" s="20">
        <v>104.7429</v>
      </c>
      <c r="L56" s="20">
        <v>112.7826</v>
      </c>
      <c r="M56" s="20">
        <v>109.1447</v>
      </c>
      <c r="N56" s="20">
        <v>107.9866</v>
      </c>
      <c r="O56" s="20">
        <v>103.0955</v>
      </c>
      <c r="P56" s="20">
        <v>98.8733</v>
      </c>
      <c r="Q56" s="20">
        <v>103.9914</v>
      </c>
      <c r="R56" s="20">
        <v>105.3166</v>
      </c>
      <c r="S56" s="20">
        <v>99.1619</v>
      </c>
      <c r="T56" s="20">
        <v>87.479</v>
      </c>
      <c r="U56" s="20">
        <v>76.2678</v>
      </c>
      <c r="V56" s="20">
        <v>70.6658</v>
      </c>
      <c r="W56" s="20">
        <v>62.0928</v>
      </c>
      <c r="X56" s="20">
        <v>51.0048</v>
      </c>
      <c r="Y56" s="20">
        <v>45.8867</v>
      </c>
      <c r="Z56" s="20">
        <v>41.7912</v>
      </c>
      <c r="AA56" s="20">
        <v>36.4899</v>
      </c>
      <c r="AB56" s="22">
        <f t="shared" si="24"/>
        <v>2192.4091</v>
      </c>
      <c r="AC56" s="21">
        <f>MAX(D56:AA56)</f>
        <v>114.1149</v>
      </c>
    </row>
    <row r="57" s="1" customFormat="1" ht="20" hidden="1" customHeight="1" spans="1:28">
      <c r="A57" s="15"/>
      <c r="B57" s="16"/>
      <c r="C57" s="17" t="s">
        <v>39</v>
      </c>
      <c r="D57" s="20">
        <f t="shared" ref="D57:AB57" si="26">D55-D56</f>
        <v>1.59569999999999</v>
      </c>
      <c r="E57" s="20">
        <f t="shared" si="26"/>
        <v>1.5651</v>
      </c>
      <c r="F57" s="20">
        <f t="shared" si="26"/>
        <v>2.44709999999999</v>
      </c>
      <c r="G57" s="20">
        <f t="shared" si="26"/>
        <v>3.9939</v>
      </c>
      <c r="H57" s="20">
        <f t="shared" si="26"/>
        <v>1.09110000000001</v>
      </c>
      <c r="I57" s="20">
        <f t="shared" si="26"/>
        <v>1.8565</v>
      </c>
      <c r="J57" s="20">
        <f t="shared" si="26"/>
        <v>-0.0450000000000017</v>
      </c>
      <c r="K57" s="20">
        <f t="shared" si="26"/>
        <v>1.5371</v>
      </c>
      <c r="L57" s="20">
        <f t="shared" si="26"/>
        <v>-1.1626</v>
      </c>
      <c r="M57" s="20">
        <f t="shared" si="26"/>
        <v>1.4753</v>
      </c>
      <c r="N57" s="20">
        <f t="shared" si="26"/>
        <v>0.343400000000003</v>
      </c>
      <c r="O57" s="20">
        <f t="shared" si="26"/>
        <v>5.44450000000001</v>
      </c>
      <c r="P57" s="20">
        <f t="shared" si="26"/>
        <v>9.83669999999999</v>
      </c>
      <c r="Q57" s="20">
        <f t="shared" si="26"/>
        <v>6.8586</v>
      </c>
      <c r="R57" s="20">
        <f t="shared" si="26"/>
        <v>5.29340000000001</v>
      </c>
      <c r="S57" s="20">
        <f t="shared" si="26"/>
        <v>1.4581</v>
      </c>
      <c r="T57" s="20">
        <f t="shared" si="26"/>
        <v>-15.149</v>
      </c>
      <c r="U57" s="20">
        <f t="shared" si="26"/>
        <v>-15.9478</v>
      </c>
      <c r="V57" s="20">
        <f t="shared" si="26"/>
        <v>-10.5558</v>
      </c>
      <c r="W57" s="20">
        <f t="shared" si="26"/>
        <v>-17.7728</v>
      </c>
      <c r="X57" s="20">
        <f t="shared" si="26"/>
        <v>-10.7948</v>
      </c>
      <c r="Y57" s="20">
        <f t="shared" si="26"/>
        <v>-6.5567</v>
      </c>
      <c r="Z57" s="20">
        <f t="shared" si="26"/>
        <v>-4.4412</v>
      </c>
      <c r="AA57" s="20">
        <f t="shared" si="26"/>
        <v>-2.8699</v>
      </c>
      <c r="AB57" s="22">
        <f t="shared" si="26"/>
        <v>-40.4991000000009</v>
      </c>
    </row>
    <row r="58" s="1" customFormat="1" ht="20" hidden="1" customHeight="1" spans="1:28">
      <c r="A58" s="15">
        <v>46192</v>
      </c>
      <c r="B58" s="16">
        <v>4303121811816</v>
      </c>
      <c r="C58" s="17" t="s">
        <v>37</v>
      </c>
      <c r="D58" s="18">
        <v>33.54</v>
      </c>
      <c r="E58" s="18">
        <v>33.62</v>
      </c>
      <c r="F58" s="18">
        <v>33.54</v>
      </c>
      <c r="G58" s="18">
        <v>33.18</v>
      </c>
      <c r="H58" s="18">
        <v>33.56</v>
      </c>
      <c r="I58" s="18">
        <v>32.89</v>
      </c>
      <c r="J58" s="18">
        <v>32.62</v>
      </c>
      <c r="K58" s="18">
        <v>30.11</v>
      </c>
      <c r="L58" s="18">
        <v>26.18</v>
      </c>
      <c r="M58" s="18">
        <v>29.01</v>
      </c>
      <c r="N58" s="18">
        <v>29.54</v>
      </c>
      <c r="O58" s="18">
        <v>29.11</v>
      </c>
      <c r="P58" s="18">
        <v>28.62</v>
      </c>
      <c r="Q58" s="18">
        <v>29.68</v>
      </c>
      <c r="R58" s="18">
        <v>29.54</v>
      </c>
      <c r="S58" s="18">
        <v>29.98</v>
      </c>
      <c r="T58" s="18">
        <v>29.65</v>
      </c>
      <c r="U58" s="18">
        <v>29.33</v>
      </c>
      <c r="V58" s="18">
        <v>30.18</v>
      </c>
      <c r="W58" s="18">
        <v>32.98</v>
      </c>
      <c r="X58" s="18">
        <v>33.32</v>
      </c>
      <c r="Y58" s="18">
        <v>33.58</v>
      </c>
      <c r="Z58" s="18">
        <v>35.35</v>
      </c>
      <c r="AA58" s="18">
        <v>34.11</v>
      </c>
      <c r="AB58" s="22">
        <f t="shared" ref="AB58:AB62" si="27">SUM(D58:AA58)</f>
        <v>753.22</v>
      </c>
    </row>
    <row r="59" s="1" customFormat="1" ht="20" customHeight="1" spans="1:29">
      <c r="A59" s="15"/>
      <c r="B59" s="16"/>
      <c r="C59" s="17" t="s">
        <v>38</v>
      </c>
      <c r="D59" s="19">
        <v>40.0807</v>
      </c>
      <c r="E59" s="19">
        <v>40.5838</v>
      </c>
      <c r="F59" s="19">
        <v>39.5807</v>
      </c>
      <c r="G59" s="19">
        <v>39.7444</v>
      </c>
      <c r="H59" s="19">
        <v>39.9362</v>
      </c>
      <c r="I59" s="19">
        <v>38.3539</v>
      </c>
      <c r="J59" s="19">
        <v>34.0202</v>
      </c>
      <c r="K59" s="19">
        <v>32.9101</v>
      </c>
      <c r="L59" s="19">
        <v>30.3353</v>
      </c>
      <c r="M59" s="19">
        <v>30.7824</v>
      </c>
      <c r="N59" s="19">
        <v>29.4026</v>
      </c>
      <c r="O59" s="19">
        <v>29.7862</v>
      </c>
      <c r="P59" s="19">
        <v>30.0397</v>
      </c>
      <c r="Q59" s="19">
        <v>30.1716</v>
      </c>
      <c r="R59" s="19">
        <v>29.8408</v>
      </c>
      <c r="S59" s="19">
        <v>30.5324</v>
      </c>
      <c r="T59" s="19">
        <v>34.334</v>
      </c>
      <c r="U59" s="19">
        <v>35.2474</v>
      </c>
      <c r="V59" s="19">
        <v>38.1199</v>
      </c>
      <c r="W59" s="19">
        <v>39.7637</v>
      </c>
      <c r="X59" s="19">
        <v>41.5712</v>
      </c>
      <c r="Y59" s="19">
        <v>40.8232</v>
      </c>
      <c r="Z59" s="19">
        <v>41.1523</v>
      </c>
      <c r="AA59" s="19">
        <v>42.3579</v>
      </c>
      <c r="AB59" s="22">
        <f t="shared" si="27"/>
        <v>859.4706</v>
      </c>
      <c r="AC59" s="21">
        <f>MAX(D59:AA59)</f>
        <v>42.3579</v>
      </c>
    </row>
    <row r="60" s="1" customFormat="1" ht="20" hidden="1" customHeight="1" spans="1:28">
      <c r="A60" s="15"/>
      <c r="B60" s="16"/>
      <c r="C60" s="17" t="s">
        <v>39</v>
      </c>
      <c r="D60" s="20">
        <f t="shared" ref="D60:AB60" si="28">D58-D59</f>
        <v>-6.5407</v>
      </c>
      <c r="E60" s="20">
        <f t="shared" si="28"/>
        <v>-6.9638</v>
      </c>
      <c r="F60" s="20">
        <f t="shared" si="28"/>
        <v>-6.0407</v>
      </c>
      <c r="G60" s="20">
        <f t="shared" si="28"/>
        <v>-6.5644</v>
      </c>
      <c r="H60" s="20">
        <f t="shared" si="28"/>
        <v>-6.3762</v>
      </c>
      <c r="I60" s="20">
        <f t="shared" si="28"/>
        <v>-5.4639</v>
      </c>
      <c r="J60" s="20">
        <f t="shared" si="28"/>
        <v>-1.40020000000001</v>
      </c>
      <c r="K60" s="20">
        <f t="shared" si="28"/>
        <v>-2.8001</v>
      </c>
      <c r="L60" s="20">
        <f t="shared" si="28"/>
        <v>-4.1553</v>
      </c>
      <c r="M60" s="20">
        <f t="shared" si="28"/>
        <v>-1.7724</v>
      </c>
      <c r="N60" s="20">
        <f t="shared" si="28"/>
        <v>0.1374</v>
      </c>
      <c r="O60" s="20">
        <f t="shared" si="28"/>
        <v>-0.676200000000001</v>
      </c>
      <c r="P60" s="20">
        <f t="shared" si="28"/>
        <v>-1.4197</v>
      </c>
      <c r="Q60" s="20">
        <f t="shared" si="28"/>
        <v>-0.491600000000002</v>
      </c>
      <c r="R60" s="20">
        <f t="shared" si="28"/>
        <v>-0.300800000000002</v>
      </c>
      <c r="S60" s="20">
        <f t="shared" si="28"/>
        <v>-0.552399999999999</v>
      </c>
      <c r="T60" s="20">
        <f t="shared" si="28"/>
        <v>-4.684</v>
      </c>
      <c r="U60" s="20">
        <f t="shared" si="28"/>
        <v>-5.9174</v>
      </c>
      <c r="V60" s="20">
        <f t="shared" si="28"/>
        <v>-7.9399</v>
      </c>
      <c r="W60" s="20">
        <f t="shared" si="28"/>
        <v>-6.7837</v>
      </c>
      <c r="X60" s="20">
        <f t="shared" si="28"/>
        <v>-8.2512</v>
      </c>
      <c r="Y60" s="20">
        <f t="shared" si="28"/>
        <v>-7.2432</v>
      </c>
      <c r="Z60" s="20">
        <f t="shared" si="28"/>
        <v>-5.8023</v>
      </c>
      <c r="AA60" s="20">
        <f t="shared" si="28"/>
        <v>-8.2479</v>
      </c>
      <c r="AB60" s="22">
        <f t="shared" si="28"/>
        <v>-106.2506</v>
      </c>
    </row>
    <row r="61" s="1" customFormat="1" ht="20" hidden="1" customHeight="1" spans="1:28">
      <c r="A61" s="15">
        <v>46193</v>
      </c>
      <c r="B61" s="16">
        <v>4303121811816</v>
      </c>
      <c r="C61" s="17" t="s">
        <v>37</v>
      </c>
      <c r="D61" s="18">
        <v>36.11</v>
      </c>
      <c r="E61" s="18">
        <v>48.68</v>
      </c>
      <c r="F61" s="18">
        <v>50.18</v>
      </c>
      <c r="G61" s="18">
        <v>50.32</v>
      </c>
      <c r="H61" s="18">
        <v>53.33</v>
      </c>
      <c r="I61" s="18">
        <v>54.62</v>
      </c>
      <c r="J61" s="18">
        <v>55.71</v>
      </c>
      <c r="K61" s="18">
        <v>66.85</v>
      </c>
      <c r="L61" s="18">
        <v>72.32</v>
      </c>
      <c r="M61" s="18">
        <v>72.62</v>
      </c>
      <c r="N61" s="18">
        <v>69.84</v>
      </c>
      <c r="O61" s="18">
        <v>68.62</v>
      </c>
      <c r="P61" s="18">
        <v>68.54</v>
      </c>
      <c r="Q61" s="18">
        <v>69.66</v>
      </c>
      <c r="R61" s="18">
        <v>70.62</v>
      </c>
      <c r="S61" s="18">
        <v>71.66</v>
      </c>
      <c r="T61" s="18">
        <v>71.54</v>
      </c>
      <c r="U61" s="18">
        <v>69.65</v>
      </c>
      <c r="V61" s="18">
        <v>68.54</v>
      </c>
      <c r="W61" s="18">
        <v>72.33</v>
      </c>
      <c r="X61" s="18">
        <v>73.22</v>
      </c>
      <c r="Y61" s="18">
        <v>73.28</v>
      </c>
      <c r="Z61" s="18">
        <v>73.21</v>
      </c>
      <c r="AA61" s="18">
        <v>71.89</v>
      </c>
      <c r="AB61" s="22">
        <f t="shared" si="27"/>
        <v>1553.34</v>
      </c>
    </row>
    <row r="62" s="1" customFormat="1" ht="20" customHeight="1" spans="1:29">
      <c r="A62" s="15"/>
      <c r="B62" s="16"/>
      <c r="C62" s="17" t="s">
        <v>38</v>
      </c>
      <c r="D62" s="20">
        <v>46.6101</v>
      </c>
      <c r="E62" s="20">
        <v>55.558</v>
      </c>
      <c r="F62" s="20">
        <v>57.4499</v>
      </c>
      <c r="G62" s="20">
        <v>59.136</v>
      </c>
      <c r="H62" s="20">
        <v>59.701</v>
      </c>
      <c r="I62" s="20">
        <v>60.7376</v>
      </c>
      <c r="J62" s="20">
        <v>62.6472</v>
      </c>
      <c r="K62" s="20">
        <v>63.1136</v>
      </c>
      <c r="L62" s="20">
        <v>78.7653</v>
      </c>
      <c r="M62" s="20">
        <v>81.8013</v>
      </c>
      <c r="N62" s="20">
        <v>82.8819</v>
      </c>
      <c r="O62" s="20">
        <v>80.2736</v>
      </c>
      <c r="P62" s="20">
        <v>77.8307</v>
      </c>
      <c r="Q62" s="20">
        <v>84.846</v>
      </c>
      <c r="R62" s="20">
        <v>85.3829</v>
      </c>
      <c r="S62" s="20">
        <v>81.1906</v>
      </c>
      <c r="T62" s="20">
        <v>82.0864</v>
      </c>
      <c r="U62" s="20">
        <v>81.6868</v>
      </c>
      <c r="V62" s="20">
        <v>79.1137</v>
      </c>
      <c r="W62" s="20">
        <v>77.3009</v>
      </c>
      <c r="X62" s="20">
        <v>80.8896</v>
      </c>
      <c r="Y62" s="20">
        <v>90.4725</v>
      </c>
      <c r="Z62" s="20">
        <v>79.8723</v>
      </c>
      <c r="AA62" s="20">
        <v>78.4326</v>
      </c>
      <c r="AB62" s="22">
        <f t="shared" si="27"/>
        <v>1767.7805</v>
      </c>
      <c r="AC62" s="21">
        <f>MAX(D62:AA62)</f>
        <v>90.4725</v>
      </c>
    </row>
    <row r="63" s="1" customFormat="1" ht="20" hidden="1" customHeight="1" spans="1:28">
      <c r="A63" s="15"/>
      <c r="B63" s="16"/>
      <c r="C63" s="17" t="s">
        <v>39</v>
      </c>
      <c r="D63" s="20">
        <f t="shared" ref="D63:AB63" si="29">D61-D62</f>
        <v>-10.5001</v>
      </c>
      <c r="E63" s="20">
        <f t="shared" si="29"/>
        <v>-6.878</v>
      </c>
      <c r="F63" s="20">
        <f t="shared" si="29"/>
        <v>-7.2699</v>
      </c>
      <c r="G63" s="20">
        <f t="shared" si="29"/>
        <v>-8.816</v>
      </c>
      <c r="H63" s="20">
        <f t="shared" si="29"/>
        <v>-6.371</v>
      </c>
      <c r="I63" s="20">
        <f t="shared" si="29"/>
        <v>-6.1176</v>
      </c>
      <c r="J63" s="20">
        <f t="shared" si="29"/>
        <v>-6.9372</v>
      </c>
      <c r="K63" s="20">
        <f t="shared" si="29"/>
        <v>3.7364</v>
      </c>
      <c r="L63" s="20">
        <f t="shared" si="29"/>
        <v>-6.4453</v>
      </c>
      <c r="M63" s="20">
        <f t="shared" si="29"/>
        <v>-9.18129999999999</v>
      </c>
      <c r="N63" s="20">
        <f t="shared" si="29"/>
        <v>-13.0419</v>
      </c>
      <c r="O63" s="20">
        <f t="shared" si="29"/>
        <v>-11.6536</v>
      </c>
      <c r="P63" s="20">
        <f t="shared" si="29"/>
        <v>-9.29069999999999</v>
      </c>
      <c r="Q63" s="20">
        <f t="shared" si="29"/>
        <v>-15.186</v>
      </c>
      <c r="R63" s="20">
        <f t="shared" si="29"/>
        <v>-14.7629</v>
      </c>
      <c r="S63" s="20">
        <f t="shared" si="29"/>
        <v>-9.53060000000001</v>
      </c>
      <c r="T63" s="20">
        <f t="shared" si="29"/>
        <v>-10.5464</v>
      </c>
      <c r="U63" s="20">
        <f t="shared" si="29"/>
        <v>-12.0368</v>
      </c>
      <c r="V63" s="20">
        <f t="shared" si="29"/>
        <v>-10.5737</v>
      </c>
      <c r="W63" s="20">
        <f t="shared" si="29"/>
        <v>-4.9709</v>
      </c>
      <c r="X63" s="20">
        <f t="shared" si="29"/>
        <v>-7.6696</v>
      </c>
      <c r="Y63" s="20">
        <f t="shared" si="29"/>
        <v>-17.1925</v>
      </c>
      <c r="Z63" s="20">
        <f t="shared" si="29"/>
        <v>-6.6623</v>
      </c>
      <c r="AA63" s="20">
        <f t="shared" si="29"/>
        <v>-6.54259999999999</v>
      </c>
      <c r="AB63" s="22">
        <f t="shared" si="29"/>
        <v>-214.4405</v>
      </c>
    </row>
    <row r="64" s="1" customFormat="1" ht="20" hidden="1" customHeight="1" spans="1:28">
      <c r="A64" s="15">
        <v>46194</v>
      </c>
      <c r="B64" s="16">
        <v>4303121811816</v>
      </c>
      <c r="C64" s="17" t="s">
        <v>37</v>
      </c>
      <c r="D64" s="18">
        <v>71.25</v>
      </c>
      <c r="E64" s="18">
        <v>72.32</v>
      </c>
      <c r="F64" s="18">
        <v>73.32</v>
      </c>
      <c r="G64" s="18">
        <v>72.58</v>
      </c>
      <c r="H64" s="18">
        <v>73.22</v>
      </c>
      <c r="I64" s="18">
        <v>73.18</v>
      </c>
      <c r="J64" s="18">
        <v>70.18</v>
      </c>
      <c r="K64" s="18">
        <v>69.58</v>
      </c>
      <c r="L64" s="18">
        <v>71.22</v>
      </c>
      <c r="M64" s="18">
        <v>73.21</v>
      </c>
      <c r="N64" s="18">
        <v>71.32</v>
      </c>
      <c r="O64" s="18">
        <v>69.89</v>
      </c>
      <c r="P64" s="18">
        <v>68.72</v>
      </c>
      <c r="Q64" s="18">
        <v>68.98</v>
      </c>
      <c r="R64" s="18">
        <v>70.11</v>
      </c>
      <c r="S64" s="18">
        <v>71.56</v>
      </c>
      <c r="T64" s="18">
        <v>69.66</v>
      </c>
      <c r="U64" s="18">
        <v>71.31</v>
      </c>
      <c r="V64" s="18">
        <v>72.18</v>
      </c>
      <c r="W64" s="18">
        <v>71.62</v>
      </c>
      <c r="X64" s="18">
        <v>72.11</v>
      </c>
      <c r="Y64" s="18">
        <v>71.65</v>
      </c>
      <c r="Z64" s="18">
        <v>71.58</v>
      </c>
      <c r="AA64" s="18">
        <v>71.28</v>
      </c>
      <c r="AB64" s="22">
        <f t="shared" ref="AB64:AB68" si="30">SUM(D64:AA64)</f>
        <v>1712.03</v>
      </c>
    </row>
    <row r="65" s="1" customFormat="1" ht="20" customHeight="1" spans="1:29">
      <c r="A65" s="15"/>
      <c r="B65" s="16"/>
      <c r="C65" s="17" t="s">
        <v>38</v>
      </c>
      <c r="D65" s="19">
        <v>84.04</v>
      </c>
      <c r="E65" s="19">
        <v>84.8954</v>
      </c>
      <c r="F65" s="19">
        <v>87.0988</v>
      </c>
      <c r="G65" s="19">
        <v>87.2644</v>
      </c>
      <c r="H65" s="19">
        <v>81.0585</v>
      </c>
      <c r="I65" s="19">
        <v>81.4933</v>
      </c>
      <c r="J65" s="19">
        <v>80.5869</v>
      </c>
      <c r="K65" s="19">
        <v>80.6432</v>
      </c>
      <c r="L65" s="19">
        <v>89.1827</v>
      </c>
      <c r="M65" s="19">
        <v>93.5404</v>
      </c>
      <c r="N65" s="19">
        <v>90.6646</v>
      </c>
      <c r="O65" s="19">
        <v>89.0666</v>
      </c>
      <c r="P65" s="19">
        <v>89.5488</v>
      </c>
      <c r="Q65" s="19">
        <v>92.4458</v>
      </c>
      <c r="R65" s="19">
        <v>93.8784</v>
      </c>
      <c r="S65" s="19">
        <v>93.9048</v>
      </c>
      <c r="T65" s="19">
        <v>91.4672</v>
      </c>
      <c r="U65" s="19">
        <v>92.0551</v>
      </c>
      <c r="V65" s="19">
        <v>90.9937</v>
      </c>
      <c r="W65" s="19">
        <v>89.2196</v>
      </c>
      <c r="X65" s="19">
        <v>95.8179</v>
      </c>
      <c r="Y65" s="19">
        <v>98.4315</v>
      </c>
      <c r="Z65" s="19">
        <v>95.2723</v>
      </c>
      <c r="AA65" s="19">
        <v>92.4404</v>
      </c>
      <c r="AB65" s="22">
        <f t="shared" si="30"/>
        <v>2145.0103</v>
      </c>
      <c r="AC65" s="21">
        <f>MAX(D65:AA65)</f>
        <v>98.4315</v>
      </c>
    </row>
    <row r="66" s="1" customFormat="1" ht="20" hidden="1" customHeight="1" spans="1:28">
      <c r="A66" s="15"/>
      <c r="B66" s="16"/>
      <c r="C66" s="17" t="s">
        <v>39</v>
      </c>
      <c r="D66" s="20">
        <f t="shared" ref="D66:AB66" si="31">D64-D65</f>
        <v>-12.79</v>
      </c>
      <c r="E66" s="20">
        <f t="shared" si="31"/>
        <v>-12.5754</v>
      </c>
      <c r="F66" s="20">
        <f t="shared" si="31"/>
        <v>-13.7788</v>
      </c>
      <c r="G66" s="20">
        <f t="shared" si="31"/>
        <v>-14.6844</v>
      </c>
      <c r="H66" s="20">
        <f t="shared" si="31"/>
        <v>-7.8385</v>
      </c>
      <c r="I66" s="20">
        <f t="shared" si="31"/>
        <v>-8.3133</v>
      </c>
      <c r="J66" s="20">
        <f t="shared" si="31"/>
        <v>-10.4069</v>
      </c>
      <c r="K66" s="20">
        <f t="shared" si="31"/>
        <v>-11.0632</v>
      </c>
      <c r="L66" s="20">
        <f t="shared" si="31"/>
        <v>-17.9627</v>
      </c>
      <c r="M66" s="20">
        <f t="shared" si="31"/>
        <v>-20.3304</v>
      </c>
      <c r="N66" s="20">
        <f t="shared" si="31"/>
        <v>-19.3446</v>
      </c>
      <c r="O66" s="20">
        <f t="shared" si="31"/>
        <v>-19.1766</v>
      </c>
      <c r="P66" s="20">
        <f t="shared" si="31"/>
        <v>-20.8288</v>
      </c>
      <c r="Q66" s="20">
        <f t="shared" si="31"/>
        <v>-23.4658</v>
      </c>
      <c r="R66" s="20">
        <f t="shared" si="31"/>
        <v>-23.7684</v>
      </c>
      <c r="S66" s="20">
        <f t="shared" si="31"/>
        <v>-22.3448</v>
      </c>
      <c r="T66" s="20">
        <f t="shared" si="31"/>
        <v>-21.8072</v>
      </c>
      <c r="U66" s="20">
        <f t="shared" si="31"/>
        <v>-20.7451</v>
      </c>
      <c r="V66" s="20">
        <f t="shared" si="31"/>
        <v>-18.8137</v>
      </c>
      <c r="W66" s="20">
        <f t="shared" si="31"/>
        <v>-17.5996</v>
      </c>
      <c r="X66" s="20">
        <f t="shared" si="31"/>
        <v>-23.7079</v>
      </c>
      <c r="Y66" s="20">
        <f t="shared" si="31"/>
        <v>-26.7815</v>
      </c>
      <c r="Z66" s="20">
        <f t="shared" si="31"/>
        <v>-23.6923</v>
      </c>
      <c r="AA66" s="20">
        <f t="shared" si="31"/>
        <v>-21.1604</v>
      </c>
      <c r="AB66" s="22">
        <f t="shared" si="31"/>
        <v>-432.9803</v>
      </c>
    </row>
    <row r="67" s="1" customFormat="1" ht="20" hidden="1" customHeight="1" spans="1:28">
      <c r="A67" s="15">
        <v>46195</v>
      </c>
      <c r="B67" s="16">
        <v>4303121811816</v>
      </c>
      <c r="C67" s="17" t="s">
        <v>37</v>
      </c>
      <c r="D67" s="18">
        <v>71.33</v>
      </c>
      <c r="E67" s="18">
        <v>73.28</v>
      </c>
      <c r="F67" s="18">
        <v>72.98</v>
      </c>
      <c r="G67" s="18">
        <v>73.11</v>
      </c>
      <c r="H67" s="18">
        <v>75.18</v>
      </c>
      <c r="I67" s="18">
        <v>76.52</v>
      </c>
      <c r="J67" s="18">
        <v>74.633</v>
      </c>
      <c r="K67" s="18">
        <v>95.62</v>
      </c>
      <c r="L67" s="18">
        <v>99.62</v>
      </c>
      <c r="M67" s="18">
        <v>100.58</v>
      </c>
      <c r="N67" s="18">
        <v>108.62</v>
      </c>
      <c r="O67" s="18">
        <v>110.62</v>
      </c>
      <c r="P67" s="18">
        <v>107.62</v>
      </c>
      <c r="Q67" s="18">
        <v>111.62</v>
      </c>
      <c r="R67" s="18">
        <v>113.59</v>
      </c>
      <c r="S67" s="18">
        <v>115.21</v>
      </c>
      <c r="T67" s="18">
        <v>114.18</v>
      </c>
      <c r="U67" s="18">
        <v>111.62</v>
      </c>
      <c r="V67" s="18">
        <v>110.18</v>
      </c>
      <c r="W67" s="18">
        <v>106.31</v>
      </c>
      <c r="X67" s="18">
        <v>110.54</v>
      </c>
      <c r="Y67" s="18">
        <v>111.18</v>
      </c>
      <c r="Z67" s="18">
        <v>108.36</v>
      </c>
      <c r="AA67" s="18">
        <v>104.62</v>
      </c>
      <c r="AB67" s="22">
        <f t="shared" si="30"/>
        <v>2357.123</v>
      </c>
    </row>
    <row r="68" s="1" customFormat="1" ht="20" customHeight="1" spans="1:29">
      <c r="A68" s="15"/>
      <c r="B68" s="16"/>
      <c r="C68" s="17" t="s">
        <v>38</v>
      </c>
      <c r="D68" s="20">
        <v>98.5847</v>
      </c>
      <c r="E68" s="20">
        <v>103.407</v>
      </c>
      <c r="F68" s="20">
        <v>104.4595</v>
      </c>
      <c r="G68" s="20">
        <v>105.8517</v>
      </c>
      <c r="H68" s="20">
        <v>99.44</v>
      </c>
      <c r="I68" s="20">
        <v>101.4552</v>
      </c>
      <c r="J68" s="20">
        <v>99.3062</v>
      </c>
      <c r="K68" s="20">
        <v>104.0107</v>
      </c>
      <c r="L68" s="20">
        <v>116.9432</v>
      </c>
      <c r="M68" s="20">
        <v>114.9174</v>
      </c>
      <c r="N68" s="20">
        <v>117.1244</v>
      </c>
      <c r="O68" s="20">
        <v>112.8547</v>
      </c>
      <c r="P68" s="20">
        <v>108.6818</v>
      </c>
      <c r="Q68" s="20">
        <v>115.2677</v>
      </c>
      <c r="R68" s="20">
        <v>120.0954</v>
      </c>
      <c r="S68" s="20">
        <v>122.554</v>
      </c>
      <c r="T68" s="20">
        <v>120.2415</v>
      </c>
      <c r="U68" s="20">
        <v>118.9601</v>
      </c>
      <c r="V68" s="20">
        <v>114.745</v>
      </c>
      <c r="W68" s="20">
        <v>109.2414</v>
      </c>
      <c r="X68" s="20">
        <v>113.4619</v>
      </c>
      <c r="Y68" s="20">
        <v>112.5076</v>
      </c>
      <c r="Z68" s="20">
        <v>111.8777</v>
      </c>
      <c r="AA68" s="20">
        <v>108.3192</v>
      </c>
      <c r="AB68" s="22">
        <f t="shared" si="30"/>
        <v>2654.308</v>
      </c>
      <c r="AC68" s="21">
        <f>MAX(D68:AA68)</f>
        <v>122.554</v>
      </c>
    </row>
    <row r="69" s="1" customFormat="1" ht="20" hidden="1" customHeight="1" spans="1:28">
      <c r="A69" s="15"/>
      <c r="B69" s="16"/>
      <c r="C69" s="17" t="s">
        <v>39</v>
      </c>
      <c r="D69" s="20">
        <f t="shared" ref="D69:AB69" si="32">D67-D68</f>
        <v>-27.2547</v>
      </c>
      <c r="E69" s="20">
        <f t="shared" si="32"/>
        <v>-30.127</v>
      </c>
      <c r="F69" s="20">
        <f t="shared" si="32"/>
        <v>-31.4795</v>
      </c>
      <c r="G69" s="20">
        <f t="shared" si="32"/>
        <v>-32.7417</v>
      </c>
      <c r="H69" s="20">
        <f t="shared" si="32"/>
        <v>-24.26</v>
      </c>
      <c r="I69" s="20">
        <f t="shared" si="32"/>
        <v>-24.9352</v>
      </c>
      <c r="J69" s="20">
        <f t="shared" si="32"/>
        <v>-24.6732</v>
      </c>
      <c r="K69" s="20">
        <f t="shared" si="32"/>
        <v>-8.3907</v>
      </c>
      <c r="L69" s="20">
        <f t="shared" si="32"/>
        <v>-17.3232</v>
      </c>
      <c r="M69" s="20">
        <f t="shared" si="32"/>
        <v>-14.3374</v>
      </c>
      <c r="N69" s="20">
        <f t="shared" si="32"/>
        <v>-8.50439999999999</v>
      </c>
      <c r="O69" s="20">
        <f t="shared" si="32"/>
        <v>-2.23469999999999</v>
      </c>
      <c r="P69" s="20">
        <f t="shared" si="32"/>
        <v>-1.06179999999999</v>
      </c>
      <c r="Q69" s="20">
        <f t="shared" si="32"/>
        <v>-3.6477</v>
      </c>
      <c r="R69" s="20">
        <f t="shared" si="32"/>
        <v>-6.50539999999999</v>
      </c>
      <c r="S69" s="20">
        <f t="shared" si="32"/>
        <v>-7.34400000000001</v>
      </c>
      <c r="T69" s="20">
        <f t="shared" si="32"/>
        <v>-6.0615</v>
      </c>
      <c r="U69" s="20">
        <f t="shared" si="32"/>
        <v>-7.34009999999999</v>
      </c>
      <c r="V69" s="20">
        <f t="shared" si="32"/>
        <v>-4.565</v>
      </c>
      <c r="W69" s="20">
        <f t="shared" si="32"/>
        <v>-2.9314</v>
      </c>
      <c r="X69" s="20">
        <f t="shared" si="32"/>
        <v>-2.92189999999999</v>
      </c>
      <c r="Y69" s="20">
        <f t="shared" si="32"/>
        <v>-1.32759999999999</v>
      </c>
      <c r="Z69" s="20">
        <f t="shared" si="32"/>
        <v>-3.5177</v>
      </c>
      <c r="AA69" s="20">
        <f t="shared" si="32"/>
        <v>-3.69919999999999</v>
      </c>
      <c r="AB69" s="22">
        <f t="shared" si="32"/>
        <v>-297.185</v>
      </c>
    </row>
    <row r="70" s="1" customFormat="1" ht="20" hidden="1" customHeight="1" spans="1:28">
      <c r="A70" s="15">
        <v>46196</v>
      </c>
      <c r="B70" s="16">
        <v>4303121811816</v>
      </c>
      <c r="C70" s="17" t="s">
        <v>37</v>
      </c>
      <c r="D70" s="18">
        <v>109.62</v>
      </c>
      <c r="E70" s="18">
        <v>114.21</v>
      </c>
      <c r="F70" s="18">
        <v>113.65</v>
      </c>
      <c r="G70" s="18">
        <v>112.65</v>
      </c>
      <c r="H70" s="18">
        <v>113.23</v>
      </c>
      <c r="I70" s="18">
        <v>113.31</v>
      </c>
      <c r="J70" s="18">
        <v>108.62</v>
      </c>
      <c r="K70" s="18">
        <v>108.33</v>
      </c>
      <c r="L70" s="18">
        <v>115.62</v>
      </c>
      <c r="M70" s="18">
        <v>116.58</v>
      </c>
      <c r="N70" s="18">
        <v>114.96</v>
      </c>
      <c r="O70" s="18">
        <v>110.21</v>
      </c>
      <c r="P70" s="18">
        <v>108.33</v>
      </c>
      <c r="Q70" s="18">
        <v>112.62</v>
      </c>
      <c r="R70" s="18">
        <v>114.59</v>
      </c>
      <c r="S70" s="18">
        <v>118.18</v>
      </c>
      <c r="T70" s="18">
        <v>117.62</v>
      </c>
      <c r="U70" s="18">
        <v>117.18</v>
      </c>
      <c r="V70" s="18">
        <v>107.89</v>
      </c>
      <c r="W70" s="18">
        <v>107.89</v>
      </c>
      <c r="X70" s="18">
        <v>113.62</v>
      </c>
      <c r="Y70" s="18">
        <v>114.54</v>
      </c>
      <c r="Z70" s="18">
        <v>112.62</v>
      </c>
      <c r="AA70" s="18">
        <v>109.23</v>
      </c>
      <c r="AB70" s="22">
        <f t="shared" ref="AB70:AB74" si="33">SUM(D70:AA70)</f>
        <v>2705.3</v>
      </c>
    </row>
    <row r="71" s="1" customFormat="1" ht="20" customHeight="1" spans="1:29">
      <c r="A71" s="15"/>
      <c r="B71" s="16"/>
      <c r="C71" s="17" t="s">
        <v>38</v>
      </c>
      <c r="D71" s="19">
        <v>113.3158</v>
      </c>
      <c r="E71" s="19">
        <v>116.5349</v>
      </c>
      <c r="F71" s="19">
        <v>116.0455</v>
      </c>
      <c r="G71" s="19">
        <v>115.3917</v>
      </c>
      <c r="H71" s="19">
        <v>111.0963</v>
      </c>
      <c r="I71" s="19">
        <v>111.855</v>
      </c>
      <c r="J71" s="19">
        <v>110.3784</v>
      </c>
      <c r="K71" s="19">
        <v>113.1434</v>
      </c>
      <c r="L71" s="19">
        <v>119.1731</v>
      </c>
      <c r="M71" s="19">
        <v>118.5406</v>
      </c>
      <c r="N71" s="19">
        <v>117.5689</v>
      </c>
      <c r="O71" s="19">
        <v>112.494</v>
      </c>
      <c r="P71" s="19">
        <v>111.2162</v>
      </c>
      <c r="Q71" s="19">
        <v>118.5606</v>
      </c>
      <c r="R71" s="19">
        <v>121.5332</v>
      </c>
      <c r="S71" s="19">
        <v>119.6008</v>
      </c>
      <c r="T71" s="19">
        <v>118.5236</v>
      </c>
      <c r="U71" s="19">
        <v>116.9591</v>
      </c>
      <c r="V71" s="19">
        <v>115.2536</v>
      </c>
      <c r="W71" s="19">
        <v>110.7621</v>
      </c>
      <c r="X71" s="19">
        <v>112.3866</v>
      </c>
      <c r="Y71" s="19">
        <v>111.0806</v>
      </c>
      <c r="Z71" s="19">
        <v>108.4477</v>
      </c>
      <c r="AA71" s="19">
        <v>111.1704</v>
      </c>
      <c r="AB71" s="22">
        <f t="shared" si="33"/>
        <v>2751.0321</v>
      </c>
      <c r="AC71" s="21">
        <f>MAX(D71:AA71)</f>
        <v>121.5332</v>
      </c>
    </row>
    <row r="72" s="1" customFormat="1" ht="20" hidden="1" customHeight="1" spans="1:28">
      <c r="A72" s="15"/>
      <c r="B72" s="16"/>
      <c r="C72" s="17" t="s">
        <v>39</v>
      </c>
      <c r="D72" s="20">
        <f t="shared" ref="D72:AB72" si="34">D70-D71</f>
        <v>-3.69579999999999</v>
      </c>
      <c r="E72" s="20">
        <f t="shared" si="34"/>
        <v>-2.3249</v>
      </c>
      <c r="F72" s="20">
        <f t="shared" si="34"/>
        <v>-2.3955</v>
      </c>
      <c r="G72" s="20">
        <f t="shared" si="34"/>
        <v>-2.74169999999999</v>
      </c>
      <c r="H72" s="20">
        <f t="shared" si="34"/>
        <v>2.1337</v>
      </c>
      <c r="I72" s="20">
        <f t="shared" si="34"/>
        <v>1.455</v>
      </c>
      <c r="J72" s="20">
        <f t="shared" si="34"/>
        <v>-1.75839999999999</v>
      </c>
      <c r="K72" s="20">
        <f t="shared" si="34"/>
        <v>-4.8134</v>
      </c>
      <c r="L72" s="20">
        <f t="shared" si="34"/>
        <v>-3.5531</v>
      </c>
      <c r="M72" s="20">
        <f t="shared" si="34"/>
        <v>-1.9606</v>
      </c>
      <c r="N72" s="20">
        <f t="shared" si="34"/>
        <v>-2.60890000000001</v>
      </c>
      <c r="O72" s="20">
        <f t="shared" si="34"/>
        <v>-2.28400000000001</v>
      </c>
      <c r="P72" s="20">
        <f t="shared" si="34"/>
        <v>-2.8862</v>
      </c>
      <c r="Q72" s="20">
        <f t="shared" si="34"/>
        <v>-5.94059999999999</v>
      </c>
      <c r="R72" s="20">
        <f t="shared" si="34"/>
        <v>-6.94319999999999</v>
      </c>
      <c r="S72" s="20">
        <f t="shared" si="34"/>
        <v>-1.4208</v>
      </c>
      <c r="T72" s="20">
        <f t="shared" si="34"/>
        <v>-0.903599999999997</v>
      </c>
      <c r="U72" s="20">
        <f t="shared" si="34"/>
        <v>0.2209</v>
      </c>
      <c r="V72" s="20">
        <f t="shared" si="34"/>
        <v>-7.36360000000001</v>
      </c>
      <c r="W72" s="20">
        <f t="shared" si="34"/>
        <v>-2.8721</v>
      </c>
      <c r="X72" s="20">
        <f t="shared" si="34"/>
        <v>1.2334</v>
      </c>
      <c r="Y72" s="20">
        <f t="shared" si="34"/>
        <v>3.4594</v>
      </c>
      <c r="Z72" s="20">
        <f t="shared" si="34"/>
        <v>4.17230000000001</v>
      </c>
      <c r="AA72" s="20">
        <f t="shared" si="34"/>
        <v>-1.9404</v>
      </c>
      <c r="AB72" s="22">
        <f t="shared" si="34"/>
        <v>-45.7321000000002</v>
      </c>
    </row>
    <row r="73" s="1" customFormat="1" ht="20" hidden="1" customHeight="1" spans="1:28">
      <c r="A73" s="15">
        <v>46197</v>
      </c>
      <c r="B73" s="16">
        <v>4303121811816</v>
      </c>
      <c r="C73" s="17" t="s">
        <v>37</v>
      </c>
      <c r="D73" s="18">
        <v>118.69</v>
      </c>
      <c r="E73" s="18">
        <v>120.18</v>
      </c>
      <c r="F73" s="18">
        <v>120.31</v>
      </c>
      <c r="G73" s="18">
        <v>120.21</v>
      </c>
      <c r="H73" s="18">
        <v>116.22</v>
      </c>
      <c r="I73" s="18">
        <v>113.21</v>
      </c>
      <c r="J73" s="18">
        <v>108.54</v>
      </c>
      <c r="K73" s="18">
        <v>108.41</v>
      </c>
      <c r="L73" s="18">
        <v>115.28</v>
      </c>
      <c r="M73" s="18">
        <v>116.62</v>
      </c>
      <c r="N73" s="18">
        <v>115.13</v>
      </c>
      <c r="O73" s="18">
        <v>110.18</v>
      </c>
      <c r="P73" s="18">
        <v>108.41</v>
      </c>
      <c r="Q73" s="18">
        <v>112.51</v>
      </c>
      <c r="R73" s="18">
        <v>114.62</v>
      </c>
      <c r="S73" s="18">
        <v>118.21</v>
      </c>
      <c r="T73" s="18">
        <v>117.58</v>
      </c>
      <c r="U73" s="18">
        <v>117.32</v>
      </c>
      <c r="V73" s="18">
        <v>117.28</v>
      </c>
      <c r="W73" s="18">
        <v>112.31</v>
      </c>
      <c r="X73" s="18">
        <v>116.85</v>
      </c>
      <c r="Y73" s="18">
        <v>116.58</v>
      </c>
      <c r="Z73" s="18">
        <v>115.62</v>
      </c>
      <c r="AA73" s="18">
        <v>112.11</v>
      </c>
      <c r="AB73" s="22">
        <f t="shared" si="33"/>
        <v>2762.38</v>
      </c>
    </row>
    <row r="74" s="1" customFormat="1" ht="20" customHeight="1" spans="1:29">
      <c r="A74" s="15"/>
      <c r="B74" s="16"/>
      <c r="C74" s="17" t="s">
        <v>38</v>
      </c>
      <c r="D74" s="20">
        <v>115.9259</v>
      </c>
      <c r="E74" s="20">
        <v>118.397</v>
      </c>
      <c r="F74" s="20">
        <v>118.0045</v>
      </c>
      <c r="G74" s="20">
        <v>118.6823</v>
      </c>
      <c r="H74" s="20">
        <v>112.0209</v>
      </c>
      <c r="I74" s="20">
        <v>111.9526</v>
      </c>
      <c r="J74" s="20">
        <v>113.0747</v>
      </c>
      <c r="K74" s="20">
        <v>117.4642</v>
      </c>
      <c r="L74" s="20">
        <v>118.1065</v>
      </c>
      <c r="M74" s="20">
        <v>120.1746</v>
      </c>
      <c r="N74" s="20">
        <v>116.3695</v>
      </c>
      <c r="O74" s="20">
        <v>116.5313</v>
      </c>
      <c r="P74" s="20">
        <v>113.1839</v>
      </c>
      <c r="Q74" s="20">
        <v>115.7781</v>
      </c>
      <c r="R74" s="20">
        <v>121.4735</v>
      </c>
      <c r="S74" s="20">
        <v>119.8648</v>
      </c>
      <c r="T74" s="20">
        <v>122.3587</v>
      </c>
      <c r="U74" s="20">
        <v>118.793</v>
      </c>
      <c r="V74" s="20">
        <v>117.0558</v>
      </c>
      <c r="W74" s="20">
        <v>112.9356</v>
      </c>
      <c r="X74" s="20">
        <v>115.91</v>
      </c>
      <c r="Y74" s="20">
        <v>114.4792</v>
      </c>
      <c r="Z74" s="20">
        <v>112.6083</v>
      </c>
      <c r="AA74" s="20">
        <v>109.8698</v>
      </c>
      <c r="AB74" s="22">
        <f t="shared" si="33"/>
        <v>2791.0147</v>
      </c>
      <c r="AC74" s="21">
        <f>MAX(D74:AA74)</f>
        <v>122.3587</v>
      </c>
    </row>
    <row r="75" s="1" customFormat="1" ht="20" hidden="1" customHeight="1" spans="1:28">
      <c r="A75" s="15"/>
      <c r="B75" s="16"/>
      <c r="C75" s="17" t="s">
        <v>39</v>
      </c>
      <c r="D75" s="20">
        <f t="shared" ref="D75:AB75" si="35">D73-D74</f>
        <v>2.7641</v>
      </c>
      <c r="E75" s="20">
        <f t="shared" si="35"/>
        <v>1.783</v>
      </c>
      <c r="F75" s="20">
        <f t="shared" si="35"/>
        <v>2.30550000000001</v>
      </c>
      <c r="G75" s="20">
        <f t="shared" si="35"/>
        <v>1.5277</v>
      </c>
      <c r="H75" s="20">
        <f t="shared" si="35"/>
        <v>4.1991</v>
      </c>
      <c r="I75" s="20">
        <f t="shared" si="35"/>
        <v>1.25739999999999</v>
      </c>
      <c r="J75" s="20">
        <f t="shared" si="35"/>
        <v>-4.5347</v>
      </c>
      <c r="K75" s="20">
        <f t="shared" si="35"/>
        <v>-9.05420000000001</v>
      </c>
      <c r="L75" s="20">
        <f t="shared" si="35"/>
        <v>-2.8265</v>
      </c>
      <c r="M75" s="20">
        <f t="shared" si="35"/>
        <v>-3.55459999999999</v>
      </c>
      <c r="N75" s="20">
        <f t="shared" si="35"/>
        <v>-1.23950000000001</v>
      </c>
      <c r="O75" s="20">
        <f t="shared" si="35"/>
        <v>-6.35129999999999</v>
      </c>
      <c r="P75" s="20">
        <f t="shared" si="35"/>
        <v>-4.7739</v>
      </c>
      <c r="Q75" s="20">
        <f t="shared" si="35"/>
        <v>-3.26809999999999</v>
      </c>
      <c r="R75" s="20">
        <f t="shared" si="35"/>
        <v>-6.8535</v>
      </c>
      <c r="S75" s="20">
        <f t="shared" si="35"/>
        <v>-1.65480000000001</v>
      </c>
      <c r="T75" s="20">
        <f t="shared" si="35"/>
        <v>-4.7787</v>
      </c>
      <c r="U75" s="20">
        <f t="shared" si="35"/>
        <v>-1.47300000000001</v>
      </c>
      <c r="V75" s="20">
        <f t="shared" si="35"/>
        <v>0.224199999999996</v>
      </c>
      <c r="W75" s="20">
        <f t="shared" si="35"/>
        <v>-0.625599999999991</v>
      </c>
      <c r="X75" s="20">
        <f t="shared" si="35"/>
        <v>0.939999999999998</v>
      </c>
      <c r="Y75" s="20">
        <f t="shared" si="35"/>
        <v>2.10079999999999</v>
      </c>
      <c r="Z75" s="20">
        <f t="shared" si="35"/>
        <v>3.0117</v>
      </c>
      <c r="AA75" s="20">
        <f t="shared" si="35"/>
        <v>2.2402</v>
      </c>
      <c r="AB75" s="22">
        <f t="shared" si="35"/>
        <v>-28.6346999999996</v>
      </c>
    </row>
    <row r="76" s="1" customFormat="1" ht="20" hidden="1" customHeight="1" spans="1:28">
      <c r="A76" s="15">
        <v>46198</v>
      </c>
      <c r="B76" s="16">
        <v>4303121811816</v>
      </c>
      <c r="C76" s="17" t="s">
        <v>37</v>
      </c>
      <c r="D76" s="18">
        <v>118.54</v>
      </c>
      <c r="E76" s="18">
        <v>120.31</v>
      </c>
      <c r="F76" s="18">
        <v>120.18</v>
      </c>
      <c r="G76" s="18">
        <v>120.33</v>
      </c>
      <c r="H76" s="18">
        <v>115.62</v>
      </c>
      <c r="I76" s="18">
        <v>113.46</v>
      </c>
      <c r="J76" s="18">
        <v>108.66</v>
      </c>
      <c r="K76" s="18">
        <v>107.56</v>
      </c>
      <c r="L76" s="18">
        <v>115.66</v>
      </c>
      <c r="M76" s="18">
        <v>116.71</v>
      </c>
      <c r="N76" s="18">
        <v>115.31</v>
      </c>
      <c r="O76" s="18">
        <v>110.21</v>
      </c>
      <c r="P76" s="18">
        <v>108.62</v>
      </c>
      <c r="Q76" s="18">
        <v>112.66</v>
      </c>
      <c r="R76" s="18">
        <v>114.54</v>
      </c>
      <c r="S76" s="18">
        <v>118.62</v>
      </c>
      <c r="T76" s="18">
        <v>117.55</v>
      </c>
      <c r="U76" s="18">
        <v>117.28</v>
      </c>
      <c r="V76" s="18">
        <v>117.33</v>
      </c>
      <c r="W76" s="18">
        <v>112.54</v>
      </c>
      <c r="X76" s="18">
        <v>116.79</v>
      </c>
      <c r="Y76" s="18">
        <v>116.62</v>
      </c>
      <c r="Z76" s="18">
        <v>115.35</v>
      </c>
      <c r="AA76" s="18">
        <v>112.18</v>
      </c>
      <c r="AB76" s="22">
        <f t="shared" ref="AB76:AB80" si="36">SUM(D76:AA76)</f>
        <v>2762.63</v>
      </c>
    </row>
    <row r="77" s="1" customFormat="1" ht="20" customHeight="1" spans="1:29">
      <c r="A77" s="15"/>
      <c r="B77" s="16"/>
      <c r="C77" s="17" t="s">
        <v>38</v>
      </c>
      <c r="D77" s="19">
        <v>116.6845</v>
      </c>
      <c r="E77" s="19">
        <v>119.7205</v>
      </c>
      <c r="F77" s="19">
        <v>120.0513</v>
      </c>
      <c r="G77" s="19">
        <v>119.7645</v>
      </c>
      <c r="H77" s="19">
        <v>116.7918</v>
      </c>
      <c r="I77" s="19">
        <v>115.5968</v>
      </c>
      <c r="J77" s="19">
        <v>112.1542</v>
      </c>
      <c r="K77" s="19">
        <v>113.2068</v>
      </c>
      <c r="L77" s="19">
        <v>119.9123</v>
      </c>
      <c r="M77" s="19">
        <v>120.0427</v>
      </c>
      <c r="N77" s="19">
        <v>120.9701</v>
      </c>
      <c r="O77" s="19">
        <v>111.7917</v>
      </c>
      <c r="P77" s="19">
        <v>112.1507</v>
      </c>
      <c r="Q77" s="19">
        <v>123.0575</v>
      </c>
      <c r="R77" s="19">
        <v>126.9576</v>
      </c>
      <c r="S77" s="19">
        <v>125.0427</v>
      </c>
      <c r="T77" s="19">
        <v>117.7035</v>
      </c>
      <c r="U77" s="19">
        <v>117.788</v>
      </c>
      <c r="V77" s="19"/>
      <c r="W77" s="19"/>
      <c r="X77" s="19"/>
      <c r="Y77" s="19"/>
      <c r="Z77" s="19"/>
      <c r="AA77" s="19"/>
      <c r="AB77" s="22">
        <f t="shared" si="36"/>
        <v>2129.3872</v>
      </c>
      <c r="AC77" s="21">
        <f>MAX(D77:AA77)</f>
        <v>126.9576</v>
      </c>
    </row>
    <row r="78" s="1" customFormat="1" ht="20" hidden="1" customHeight="1" spans="1:28">
      <c r="A78" s="15"/>
      <c r="B78" s="16"/>
      <c r="C78" s="17" t="s">
        <v>39</v>
      </c>
      <c r="D78" s="20">
        <f t="shared" ref="D78:AB78" si="37">D76-D77</f>
        <v>1.85550000000001</v>
      </c>
      <c r="E78" s="20">
        <f t="shared" si="37"/>
        <v>0.589500000000001</v>
      </c>
      <c r="F78" s="20">
        <f t="shared" si="37"/>
        <v>0.128700000000009</v>
      </c>
      <c r="G78" s="20">
        <f t="shared" si="37"/>
        <v>0.5655</v>
      </c>
      <c r="H78" s="20">
        <f t="shared" si="37"/>
        <v>-1.17179999999999</v>
      </c>
      <c r="I78" s="20">
        <f t="shared" si="37"/>
        <v>-2.13680000000001</v>
      </c>
      <c r="J78" s="20">
        <f t="shared" si="37"/>
        <v>-3.49420000000001</v>
      </c>
      <c r="K78" s="20">
        <f t="shared" si="37"/>
        <v>-5.6468</v>
      </c>
      <c r="L78" s="20">
        <f t="shared" si="37"/>
        <v>-4.25230000000001</v>
      </c>
      <c r="M78" s="20">
        <f t="shared" si="37"/>
        <v>-3.3327</v>
      </c>
      <c r="N78" s="20">
        <f t="shared" si="37"/>
        <v>-5.6601</v>
      </c>
      <c r="O78" s="20">
        <f t="shared" si="37"/>
        <v>-1.58170000000001</v>
      </c>
      <c r="P78" s="20">
        <f t="shared" si="37"/>
        <v>-3.5307</v>
      </c>
      <c r="Q78" s="20">
        <f t="shared" si="37"/>
        <v>-10.3975</v>
      </c>
      <c r="R78" s="20">
        <f t="shared" si="37"/>
        <v>-12.4176</v>
      </c>
      <c r="S78" s="20">
        <f t="shared" si="37"/>
        <v>-6.42269999999999</v>
      </c>
      <c r="T78" s="20">
        <f t="shared" si="37"/>
        <v>-0.153500000000008</v>
      </c>
      <c r="U78" s="20">
        <f t="shared" si="37"/>
        <v>-0.507999999999996</v>
      </c>
      <c r="V78" s="20">
        <f t="shared" si="37"/>
        <v>117.33</v>
      </c>
      <c r="W78" s="20">
        <f t="shared" si="37"/>
        <v>112.54</v>
      </c>
      <c r="X78" s="20">
        <f t="shared" si="37"/>
        <v>116.79</v>
      </c>
      <c r="Y78" s="20">
        <f t="shared" si="37"/>
        <v>116.62</v>
      </c>
      <c r="Z78" s="20">
        <f t="shared" si="37"/>
        <v>115.35</v>
      </c>
      <c r="AA78" s="20">
        <f t="shared" si="37"/>
        <v>112.18</v>
      </c>
      <c r="AB78" s="22">
        <f t="shared" si="37"/>
        <v>633.2428</v>
      </c>
    </row>
    <row r="79" s="2" customFormat="1" ht="20" hidden="1" customHeight="1" spans="1:210">
      <c r="A79" s="15">
        <v>46199</v>
      </c>
      <c r="B79" s="25">
        <v>4303121811816</v>
      </c>
      <c r="C79" s="17" t="s">
        <v>37</v>
      </c>
      <c r="D79" s="18">
        <v>118.65</v>
      </c>
      <c r="E79" s="18">
        <v>120.18</v>
      </c>
      <c r="F79" s="18">
        <v>120.32</v>
      </c>
      <c r="G79" s="18">
        <v>120.12</v>
      </c>
      <c r="H79" s="18">
        <v>115.71</v>
      </c>
      <c r="I79" s="18">
        <v>113.54</v>
      </c>
      <c r="J79" s="18">
        <v>108.71</v>
      </c>
      <c r="K79" s="18">
        <v>107.55</v>
      </c>
      <c r="L79" s="18">
        <v>115.71</v>
      </c>
      <c r="M79" s="18">
        <v>116.62</v>
      </c>
      <c r="N79" s="18">
        <v>115.41</v>
      </c>
      <c r="O79" s="18">
        <v>110.33</v>
      </c>
      <c r="P79" s="18">
        <v>108.54</v>
      </c>
      <c r="Q79" s="18">
        <v>112.57</v>
      </c>
      <c r="R79" s="18">
        <v>114.62</v>
      </c>
      <c r="S79" s="18">
        <v>118.71</v>
      </c>
      <c r="T79" s="18">
        <v>116.98</v>
      </c>
      <c r="U79" s="18">
        <v>117.33</v>
      </c>
      <c r="V79" s="18">
        <v>117.18</v>
      </c>
      <c r="W79" s="18">
        <v>112.62</v>
      </c>
      <c r="X79" s="18">
        <v>116.84</v>
      </c>
      <c r="Y79" s="18">
        <v>116.55</v>
      </c>
      <c r="Z79" s="18">
        <v>115.41</v>
      </c>
      <c r="AA79" s="18">
        <v>112.18</v>
      </c>
      <c r="AB79" s="29">
        <f t="shared" si="36"/>
        <v>2762.38</v>
      </c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</row>
    <row r="80" s="1" customFormat="1" ht="20" customHeight="1" spans="1:210">
      <c r="A80" s="15"/>
      <c r="B80" s="25"/>
      <c r="C80" s="17" t="s">
        <v>38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9">
        <f t="shared" si="36"/>
        <v>0</v>
      </c>
      <c r="AC80" s="21">
        <f>MAX(D80:AA80)</f>
        <v>0</v>
      </c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</row>
    <row r="81" s="1" customFormat="1" ht="20" hidden="1" customHeight="1" spans="1:210">
      <c r="A81" s="15"/>
      <c r="B81" s="25"/>
      <c r="C81" s="17" t="s">
        <v>39</v>
      </c>
      <c r="D81" s="20">
        <f t="shared" ref="D81:AB81" si="38">D79-D80</f>
        <v>118.65</v>
      </c>
      <c r="E81" s="20">
        <f t="shared" si="38"/>
        <v>120.18</v>
      </c>
      <c r="F81" s="20">
        <f t="shared" si="38"/>
        <v>120.32</v>
      </c>
      <c r="G81" s="20">
        <f t="shared" si="38"/>
        <v>120.12</v>
      </c>
      <c r="H81" s="20">
        <f t="shared" si="38"/>
        <v>115.71</v>
      </c>
      <c r="I81" s="20">
        <f t="shared" si="38"/>
        <v>113.54</v>
      </c>
      <c r="J81" s="20">
        <f t="shared" si="38"/>
        <v>108.71</v>
      </c>
      <c r="K81" s="20">
        <f t="shared" si="38"/>
        <v>107.55</v>
      </c>
      <c r="L81" s="20">
        <f t="shared" si="38"/>
        <v>115.71</v>
      </c>
      <c r="M81" s="20">
        <f t="shared" si="38"/>
        <v>116.62</v>
      </c>
      <c r="N81" s="20">
        <f t="shared" si="38"/>
        <v>115.41</v>
      </c>
      <c r="O81" s="20">
        <f t="shared" si="38"/>
        <v>110.33</v>
      </c>
      <c r="P81" s="20">
        <f t="shared" si="38"/>
        <v>108.54</v>
      </c>
      <c r="Q81" s="20">
        <f t="shared" si="38"/>
        <v>112.57</v>
      </c>
      <c r="R81" s="20">
        <f t="shared" si="38"/>
        <v>114.62</v>
      </c>
      <c r="S81" s="20">
        <f t="shared" si="38"/>
        <v>118.71</v>
      </c>
      <c r="T81" s="20">
        <f t="shared" si="38"/>
        <v>116.98</v>
      </c>
      <c r="U81" s="20">
        <f t="shared" si="38"/>
        <v>117.33</v>
      </c>
      <c r="V81" s="20">
        <f t="shared" si="38"/>
        <v>117.18</v>
      </c>
      <c r="W81" s="20">
        <f t="shared" si="38"/>
        <v>112.62</v>
      </c>
      <c r="X81" s="20">
        <f t="shared" si="38"/>
        <v>116.84</v>
      </c>
      <c r="Y81" s="20">
        <f t="shared" si="38"/>
        <v>116.55</v>
      </c>
      <c r="Z81" s="20">
        <f t="shared" si="38"/>
        <v>115.41</v>
      </c>
      <c r="AA81" s="20">
        <f t="shared" si="38"/>
        <v>112.18</v>
      </c>
      <c r="AB81" s="29">
        <f t="shared" si="38"/>
        <v>2762.38</v>
      </c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</row>
    <row r="82" s="2" customFormat="1" ht="20" hidden="1" customHeight="1" spans="1:210">
      <c r="A82" s="15">
        <v>46200</v>
      </c>
      <c r="B82" s="25">
        <v>4303121811816</v>
      </c>
      <c r="C82" s="17" t="s">
        <v>37</v>
      </c>
      <c r="D82" s="18">
        <v>110.38</v>
      </c>
      <c r="E82" s="18">
        <v>114.64</v>
      </c>
      <c r="F82" s="18">
        <v>116.58</v>
      </c>
      <c r="G82" s="18">
        <v>117.23</v>
      </c>
      <c r="H82" s="18">
        <v>114.36</v>
      </c>
      <c r="I82" s="18">
        <v>112.14</v>
      </c>
      <c r="J82" s="18">
        <v>109.54</v>
      </c>
      <c r="K82" s="18">
        <v>105.73</v>
      </c>
      <c r="L82" s="18">
        <v>116.38</v>
      </c>
      <c r="M82" s="18">
        <v>116.72</v>
      </c>
      <c r="N82" s="18">
        <v>116.49</v>
      </c>
      <c r="O82" s="18">
        <v>113.54</v>
      </c>
      <c r="P82" s="18">
        <v>110.46</v>
      </c>
      <c r="Q82" s="18">
        <v>116.49</v>
      </c>
      <c r="R82" s="18">
        <v>118.72</v>
      </c>
      <c r="S82" s="18">
        <v>119.57</v>
      </c>
      <c r="T82" s="18">
        <v>119.89</v>
      </c>
      <c r="U82" s="18">
        <v>118.34</v>
      </c>
      <c r="V82" s="18">
        <v>116.12</v>
      </c>
      <c r="W82" s="18">
        <v>112.43</v>
      </c>
      <c r="X82" s="18">
        <v>115.42</v>
      </c>
      <c r="Y82" s="18">
        <v>116.67</v>
      </c>
      <c r="Z82" s="18">
        <v>114.54</v>
      </c>
      <c r="AA82" s="18">
        <v>112.07</v>
      </c>
      <c r="AB82" s="29">
        <f t="shared" ref="AB82:AB86" si="39">SUM(D82:AA82)</f>
        <v>2754.45</v>
      </c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</row>
    <row r="83" s="1" customFormat="1" ht="20" customHeight="1" spans="1:210">
      <c r="A83" s="15"/>
      <c r="B83" s="25"/>
      <c r="C83" s="17" t="s">
        <v>38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29">
        <f t="shared" si="39"/>
        <v>0</v>
      </c>
      <c r="AC83" s="21">
        <f>MAX(D83:AA83)</f>
        <v>0</v>
      </c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</row>
    <row r="84" s="1" customFormat="1" ht="20" hidden="1" customHeight="1" spans="1:210">
      <c r="A84" s="15"/>
      <c r="B84" s="25"/>
      <c r="C84" s="17" t="s">
        <v>39</v>
      </c>
      <c r="D84" s="20">
        <f t="shared" ref="D84:AB84" si="40">D82-D83</f>
        <v>110.38</v>
      </c>
      <c r="E84" s="20">
        <f t="shared" si="40"/>
        <v>114.64</v>
      </c>
      <c r="F84" s="20">
        <f t="shared" si="40"/>
        <v>116.58</v>
      </c>
      <c r="G84" s="20">
        <f t="shared" si="40"/>
        <v>117.23</v>
      </c>
      <c r="H84" s="20">
        <f t="shared" si="40"/>
        <v>114.36</v>
      </c>
      <c r="I84" s="20">
        <f t="shared" si="40"/>
        <v>112.14</v>
      </c>
      <c r="J84" s="20">
        <f t="shared" si="40"/>
        <v>109.54</v>
      </c>
      <c r="K84" s="20">
        <f t="shared" si="40"/>
        <v>105.73</v>
      </c>
      <c r="L84" s="20">
        <f t="shared" si="40"/>
        <v>116.38</v>
      </c>
      <c r="M84" s="20">
        <f t="shared" si="40"/>
        <v>116.72</v>
      </c>
      <c r="N84" s="20">
        <f t="shared" si="40"/>
        <v>116.49</v>
      </c>
      <c r="O84" s="20">
        <f t="shared" si="40"/>
        <v>113.54</v>
      </c>
      <c r="P84" s="20">
        <f t="shared" si="40"/>
        <v>110.46</v>
      </c>
      <c r="Q84" s="20">
        <f t="shared" si="40"/>
        <v>116.49</v>
      </c>
      <c r="R84" s="20">
        <f t="shared" si="40"/>
        <v>118.72</v>
      </c>
      <c r="S84" s="20">
        <f t="shared" si="40"/>
        <v>119.57</v>
      </c>
      <c r="T84" s="20">
        <f t="shared" si="40"/>
        <v>119.89</v>
      </c>
      <c r="U84" s="20">
        <f t="shared" si="40"/>
        <v>118.34</v>
      </c>
      <c r="V84" s="20">
        <f t="shared" si="40"/>
        <v>116.12</v>
      </c>
      <c r="W84" s="20">
        <f t="shared" si="40"/>
        <v>112.43</v>
      </c>
      <c r="X84" s="20">
        <f t="shared" si="40"/>
        <v>115.42</v>
      </c>
      <c r="Y84" s="20">
        <f t="shared" si="40"/>
        <v>116.67</v>
      </c>
      <c r="Z84" s="20">
        <f t="shared" si="40"/>
        <v>114.54</v>
      </c>
      <c r="AA84" s="20">
        <f t="shared" si="40"/>
        <v>112.07</v>
      </c>
      <c r="AB84" s="29">
        <f t="shared" si="40"/>
        <v>2754.45</v>
      </c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</row>
    <row r="85" s="2" customFormat="1" ht="20" hidden="1" customHeight="1" spans="1:210">
      <c r="A85" s="15">
        <v>46201</v>
      </c>
      <c r="B85" s="25">
        <v>4303121811816</v>
      </c>
      <c r="C85" s="17" t="s">
        <v>37</v>
      </c>
      <c r="D85" s="18">
        <v>110.12</v>
      </c>
      <c r="E85" s="18">
        <v>113.57</v>
      </c>
      <c r="F85" s="18">
        <v>115.46</v>
      </c>
      <c r="G85" s="18">
        <v>116.73</v>
      </c>
      <c r="H85" s="18">
        <v>113.57</v>
      </c>
      <c r="I85" s="18">
        <v>110.34</v>
      </c>
      <c r="J85" s="18">
        <v>106.73</v>
      </c>
      <c r="K85" s="18">
        <v>103.12</v>
      </c>
      <c r="L85" s="18">
        <v>100.57</v>
      </c>
      <c r="M85" s="18">
        <v>98.34</v>
      </c>
      <c r="N85" s="18">
        <v>97.56</v>
      </c>
      <c r="O85" s="18">
        <v>95.47</v>
      </c>
      <c r="P85" s="18">
        <v>95.12</v>
      </c>
      <c r="Q85" s="18">
        <v>96.78</v>
      </c>
      <c r="R85" s="18">
        <v>97.69</v>
      </c>
      <c r="S85" s="18">
        <v>98.72</v>
      </c>
      <c r="T85" s="18">
        <v>98.99</v>
      </c>
      <c r="U85" s="18">
        <v>98.13</v>
      </c>
      <c r="V85" s="18">
        <v>96.54</v>
      </c>
      <c r="W85" s="18">
        <v>94.72</v>
      </c>
      <c r="X85" s="18">
        <v>95.46</v>
      </c>
      <c r="Y85" s="18">
        <v>96.12</v>
      </c>
      <c r="Z85" s="18">
        <v>96.34</v>
      </c>
      <c r="AA85" s="18">
        <v>94.12</v>
      </c>
      <c r="AB85" s="29">
        <f t="shared" si="39"/>
        <v>2440.31</v>
      </c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</row>
    <row r="86" s="1" customFormat="1" ht="20" customHeight="1" spans="1:29">
      <c r="A86" s="15"/>
      <c r="B86" s="25"/>
      <c r="C86" s="17" t="s">
        <v>38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2">
        <f t="shared" si="39"/>
        <v>0</v>
      </c>
      <c r="AC86" s="21">
        <f>MAX(D86:AA86)</f>
        <v>0</v>
      </c>
    </row>
    <row r="87" s="1" customFormat="1" ht="20" hidden="1" customHeight="1" spans="1:28">
      <c r="A87" s="15"/>
      <c r="B87" s="25"/>
      <c r="C87" s="17" t="s">
        <v>39</v>
      </c>
      <c r="D87" s="20">
        <f t="shared" ref="D87:AB87" si="41">D85-D86</f>
        <v>110.12</v>
      </c>
      <c r="E87" s="20">
        <f t="shared" si="41"/>
        <v>113.57</v>
      </c>
      <c r="F87" s="20">
        <f t="shared" si="41"/>
        <v>115.46</v>
      </c>
      <c r="G87" s="20">
        <f t="shared" si="41"/>
        <v>116.73</v>
      </c>
      <c r="H87" s="20">
        <f t="shared" si="41"/>
        <v>113.57</v>
      </c>
      <c r="I87" s="20">
        <f t="shared" si="41"/>
        <v>110.34</v>
      </c>
      <c r="J87" s="20">
        <f t="shared" si="41"/>
        <v>106.73</v>
      </c>
      <c r="K87" s="20">
        <f t="shared" si="41"/>
        <v>103.12</v>
      </c>
      <c r="L87" s="20">
        <f t="shared" si="41"/>
        <v>100.57</v>
      </c>
      <c r="M87" s="20">
        <f t="shared" si="41"/>
        <v>98.34</v>
      </c>
      <c r="N87" s="20">
        <f t="shared" si="41"/>
        <v>97.56</v>
      </c>
      <c r="O87" s="20">
        <f t="shared" si="41"/>
        <v>95.47</v>
      </c>
      <c r="P87" s="20">
        <f t="shared" si="41"/>
        <v>95.12</v>
      </c>
      <c r="Q87" s="20">
        <f t="shared" si="41"/>
        <v>96.78</v>
      </c>
      <c r="R87" s="20">
        <f t="shared" si="41"/>
        <v>97.69</v>
      </c>
      <c r="S87" s="20">
        <f t="shared" si="41"/>
        <v>98.72</v>
      </c>
      <c r="T87" s="20">
        <f t="shared" si="41"/>
        <v>98.99</v>
      </c>
      <c r="U87" s="20">
        <f t="shared" si="41"/>
        <v>98.13</v>
      </c>
      <c r="V87" s="20">
        <f t="shared" si="41"/>
        <v>96.54</v>
      </c>
      <c r="W87" s="20">
        <f t="shared" si="41"/>
        <v>94.72</v>
      </c>
      <c r="X87" s="20">
        <f t="shared" si="41"/>
        <v>95.46</v>
      </c>
      <c r="Y87" s="20">
        <f t="shared" si="41"/>
        <v>96.12</v>
      </c>
      <c r="Z87" s="20">
        <f t="shared" si="41"/>
        <v>96.34</v>
      </c>
      <c r="AA87" s="20">
        <f t="shared" si="41"/>
        <v>94.12</v>
      </c>
      <c r="AB87" s="22">
        <f t="shared" si="41"/>
        <v>2440.31</v>
      </c>
    </row>
    <row r="88" s="1" customFormat="1" ht="20" hidden="1" customHeight="1" spans="1:28">
      <c r="A88" s="15">
        <v>46202</v>
      </c>
      <c r="B88" s="16">
        <v>4303121811816</v>
      </c>
      <c r="C88" s="17" t="s">
        <v>37</v>
      </c>
      <c r="D88" s="18">
        <v>93.54</v>
      </c>
      <c r="E88" s="18">
        <v>95.12</v>
      </c>
      <c r="F88" s="18">
        <v>95.49</v>
      </c>
      <c r="G88" s="18">
        <v>96.38</v>
      </c>
      <c r="H88" s="18">
        <v>95.72</v>
      </c>
      <c r="I88" s="18">
        <v>94.38</v>
      </c>
      <c r="J88" s="18">
        <v>93.62</v>
      </c>
      <c r="K88" s="18">
        <v>96.73</v>
      </c>
      <c r="L88" s="18">
        <v>106.46</v>
      </c>
      <c r="M88" s="18">
        <v>112.38</v>
      </c>
      <c r="N88" s="18">
        <v>113.58</v>
      </c>
      <c r="O88" s="18">
        <v>112.12</v>
      </c>
      <c r="P88" s="18">
        <v>112.41</v>
      </c>
      <c r="Q88" s="18">
        <v>114.38</v>
      </c>
      <c r="R88" s="18">
        <v>115.74</v>
      </c>
      <c r="S88" s="18">
        <v>116.38</v>
      </c>
      <c r="T88" s="18">
        <v>117.49</v>
      </c>
      <c r="U88" s="18">
        <v>116.27</v>
      </c>
      <c r="V88" s="18">
        <v>114.12</v>
      </c>
      <c r="W88" s="18">
        <v>113.51</v>
      </c>
      <c r="X88" s="18">
        <v>115.16</v>
      </c>
      <c r="Y88" s="18">
        <v>116.34</v>
      </c>
      <c r="Z88" s="18">
        <v>116.73</v>
      </c>
      <c r="AA88" s="18">
        <v>114.38</v>
      </c>
      <c r="AB88" s="22">
        <f t="shared" ref="AB88:AB92" si="42">SUM(D88:AA88)</f>
        <v>2588.43</v>
      </c>
    </row>
    <row r="89" s="1" customFormat="1" ht="20" customHeight="1" spans="1:29">
      <c r="A89" s="15"/>
      <c r="B89" s="16"/>
      <c r="C89" s="17" t="s">
        <v>38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22">
        <f t="shared" si="42"/>
        <v>0</v>
      </c>
      <c r="AC89" s="21">
        <f>MAX(D89:AA89)</f>
        <v>0</v>
      </c>
    </row>
    <row r="90" s="1" customFormat="1" ht="20" hidden="1" customHeight="1" spans="1:28">
      <c r="A90" s="15"/>
      <c r="B90" s="16"/>
      <c r="C90" s="17" t="s">
        <v>39</v>
      </c>
      <c r="D90" s="20">
        <f t="shared" ref="D90:AB90" si="43">D88-D89</f>
        <v>93.54</v>
      </c>
      <c r="E90" s="20">
        <f t="shared" si="43"/>
        <v>95.12</v>
      </c>
      <c r="F90" s="20">
        <f t="shared" si="43"/>
        <v>95.49</v>
      </c>
      <c r="G90" s="20">
        <f t="shared" si="43"/>
        <v>96.38</v>
      </c>
      <c r="H90" s="20">
        <f t="shared" si="43"/>
        <v>95.72</v>
      </c>
      <c r="I90" s="20">
        <f t="shared" si="43"/>
        <v>94.38</v>
      </c>
      <c r="J90" s="20">
        <f t="shared" si="43"/>
        <v>93.62</v>
      </c>
      <c r="K90" s="20">
        <f t="shared" si="43"/>
        <v>96.73</v>
      </c>
      <c r="L90" s="20">
        <f t="shared" si="43"/>
        <v>106.46</v>
      </c>
      <c r="M90" s="20">
        <f t="shared" si="43"/>
        <v>112.38</v>
      </c>
      <c r="N90" s="20">
        <f t="shared" si="43"/>
        <v>113.58</v>
      </c>
      <c r="O90" s="20">
        <f t="shared" si="43"/>
        <v>112.12</v>
      </c>
      <c r="P90" s="20">
        <f t="shared" si="43"/>
        <v>112.41</v>
      </c>
      <c r="Q90" s="20">
        <f t="shared" si="43"/>
        <v>114.38</v>
      </c>
      <c r="R90" s="20">
        <f t="shared" si="43"/>
        <v>115.74</v>
      </c>
      <c r="S90" s="20">
        <f t="shared" si="43"/>
        <v>116.38</v>
      </c>
      <c r="T90" s="20">
        <f t="shared" si="43"/>
        <v>117.49</v>
      </c>
      <c r="U90" s="20">
        <f t="shared" si="43"/>
        <v>116.27</v>
      </c>
      <c r="V90" s="20">
        <f t="shared" si="43"/>
        <v>114.12</v>
      </c>
      <c r="W90" s="20">
        <f t="shared" si="43"/>
        <v>113.51</v>
      </c>
      <c r="X90" s="20">
        <f t="shared" si="43"/>
        <v>115.16</v>
      </c>
      <c r="Y90" s="20">
        <f t="shared" si="43"/>
        <v>116.34</v>
      </c>
      <c r="Z90" s="20">
        <f t="shared" si="43"/>
        <v>116.73</v>
      </c>
      <c r="AA90" s="20">
        <f t="shared" si="43"/>
        <v>114.38</v>
      </c>
      <c r="AB90" s="22">
        <f t="shared" si="43"/>
        <v>2588.43</v>
      </c>
    </row>
    <row r="91" s="1" customFormat="1" ht="20" hidden="1" customHeight="1" spans="1:28">
      <c r="A91" s="15">
        <v>46203</v>
      </c>
      <c r="B91" s="16">
        <v>4303121811816</v>
      </c>
      <c r="C91" s="17" t="s">
        <v>37</v>
      </c>
      <c r="D91" s="18">
        <v>115.33</v>
      </c>
      <c r="E91" s="18">
        <v>118.62</v>
      </c>
      <c r="F91" s="18">
        <v>117.98</v>
      </c>
      <c r="G91" s="18">
        <v>118.54</v>
      </c>
      <c r="H91" s="18">
        <v>112.33</v>
      </c>
      <c r="I91" s="18">
        <v>111.95</v>
      </c>
      <c r="J91" s="18">
        <v>113.18</v>
      </c>
      <c r="K91" s="18">
        <v>117.65</v>
      </c>
      <c r="L91" s="18">
        <v>118.31</v>
      </c>
      <c r="M91" s="18">
        <v>120.18</v>
      </c>
      <c r="N91" s="18">
        <v>116.52</v>
      </c>
      <c r="O91" s="18">
        <v>116.33</v>
      </c>
      <c r="P91" s="18">
        <v>113.21</v>
      </c>
      <c r="Q91" s="18">
        <v>115.68</v>
      </c>
      <c r="R91" s="18">
        <v>120.68</v>
      </c>
      <c r="S91" s="18">
        <v>119.85</v>
      </c>
      <c r="T91" s="18">
        <v>122.18</v>
      </c>
      <c r="U91" s="18">
        <v>118.68</v>
      </c>
      <c r="V91" s="18">
        <v>117.18</v>
      </c>
      <c r="W91" s="18">
        <v>112.85</v>
      </c>
      <c r="X91" s="18">
        <v>115.68</v>
      </c>
      <c r="Y91" s="18">
        <v>114.62</v>
      </c>
      <c r="Z91" s="18">
        <v>112.54</v>
      </c>
      <c r="AA91" s="18">
        <v>109.62</v>
      </c>
      <c r="AB91" s="22">
        <f t="shared" si="42"/>
        <v>2789.69</v>
      </c>
    </row>
    <row r="92" s="1" customFormat="1" ht="20" customHeight="1" spans="1:29">
      <c r="A92" s="15"/>
      <c r="B92" s="16"/>
      <c r="C92" s="17" t="s">
        <v>38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2">
        <f t="shared" si="42"/>
        <v>0</v>
      </c>
      <c r="AC92" s="21">
        <f>MAX(D92:AA92)</f>
        <v>0</v>
      </c>
    </row>
    <row r="93" s="1" customFormat="1" ht="20" hidden="1" customHeight="1" spans="1:28">
      <c r="A93" s="15"/>
      <c r="B93" s="16"/>
      <c r="C93" s="17" t="s">
        <v>39</v>
      </c>
      <c r="D93" s="20">
        <f t="shared" ref="D93:AB93" si="44">D91-D92</f>
        <v>115.33</v>
      </c>
      <c r="E93" s="20">
        <f t="shared" si="44"/>
        <v>118.62</v>
      </c>
      <c r="F93" s="20">
        <f t="shared" si="44"/>
        <v>117.98</v>
      </c>
      <c r="G93" s="20">
        <f t="shared" si="44"/>
        <v>118.54</v>
      </c>
      <c r="H93" s="20">
        <f t="shared" si="44"/>
        <v>112.33</v>
      </c>
      <c r="I93" s="20">
        <f t="shared" si="44"/>
        <v>111.95</v>
      </c>
      <c r="J93" s="20">
        <f t="shared" si="44"/>
        <v>113.18</v>
      </c>
      <c r="K93" s="20">
        <f t="shared" si="44"/>
        <v>117.65</v>
      </c>
      <c r="L93" s="20">
        <f t="shared" si="44"/>
        <v>118.31</v>
      </c>
      <c r="M93" s="20">
        <f t="shared" si="44"/>
        <v>120.18</v>
      </c>
      <c r="N93" s="20">
        <f t="shared" si="44"/>
        <v>116.52</v>
      </c>
      <c r="O93" s="20">
        <f t="shared" si="44"/>
        <v>116.33</v>
      </c>
      <c r="P93" s="20">
        <f t="shared" si="44"/>
        <v>113.21</v>
      </c>
      <c r="Q93" s="20">
        <f t="shared" si="44"/>
        <v>115.68</v>
      </c>
      <c r="R93" s="20">
        <f t="shared" si="44"/>
        <v>120.68</v>
      </c>
      <c r="S93" s="20">
        <f t="shared" si="44"/>
        <v>119.85</v>
      </c>
      <c r="T93" s="20">
        <f t="shared" si="44"/>
        <v>122.18</v>
      </c>
      <c r="U93" s="20">
        <f t="shared" si="44"/>
        <v>118.68</v>
      </c>
      <c r="V93" s="20">
        <f t="shared" si="44"/>
        <v>117.18</v>
      </c>
      <c r="W93" s="20">
        <f t="shared" si="44"/>
        <v>112.85</v>
      </c>
      <c r="X93" s="20">
        <f t="shared" si="44"/>
        <v>115.68</v>
      </c>
      <c r="Y93" s="20">
        <f t="shared" si="44"/>
        <v>114.62</v>
      </c>
      <c r="Z93" s="20">
        <f t="shared" si="44"/>
        <v>112.54</v>
      </c>
      <c r="AA93" s="20">
        <f t="shared" si="44"/>
        <v>109.62</v>
      </c>
      <c r="AB93" s="22">
        <f t="shared" si="44"/>
        <v>2789.69</v>
      </c>
    </row>
    <row r="94" s="1" customFormat="1" ht="20" customHeight="1" spans="1:29">
      <c r="A94" s="26"/>
      <c r="B94" s="26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C94" s="21"/>
    </row>
    <row r="95" s="1" customFormat="1" ht="20" customHeight="1" spans="1:29">
      <c r="A95" s="26"/>
      <c r="B95" s="26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C95" s="21"/>
    </row>
    <row r="96" s="1" customFormat="1" ht="20" customHeight="1" spans="1:29">
      <c r="A96" s="26"/>
      <c r="B96" s="26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C96" s="21"/>
    </row>
    <row r="97" s="1" customFormat="1" ht="20" customHeight="1" spans="1:29">
      <c r="A97" s="26"/>
      <c r="B97" s="26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C97" s="21"/>
    </row>
    <row r="98" s="1" customFormat="1" ht="20" customHeight="1" spans="1:29">
      <c r="A98" s="26"/>
      <c r="B98" s="26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C98" s="21"/>
    </row>
    <row r="99" s="1" customFormat="1" ht="20" customHeight="1" spans="1:29">
      <c r="A99" s="26"/>
      <c r="B99" s="26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C99" s="21"/>
    </row>
    <row r="100" s="1" customFormat="1" ht="20" customHeight="1" spans="1:29">
      <c r="A100" s="26"/>
      <c r="B100" s="26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C100" s="21"/>
    </row>
    <row r="101" s="1" customFormat="1" ht="20" customHeight="1" spans="1:29">
      <c r="A101" s="26"/>
      <c r="B101" s="28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C101" s="21"/>
    </row>
    <row r="102" s="1" customFormat="1" ht="14.25" spans="1:29">
      <c r="A102" s="26"/>
      <c r="B102" s="26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C102" s="21"/>
    </row>
    <row r="103" s="1" customFormat="1" ht="14.25" spans="1:29">
      <c r="A103" s="26"/>
      <c r="B103" s="26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C103" s="21"/>
    </row>
    <row r="104" s="1" customFormat="1" ht="20" customHeight="1" spans="1:29">
      <c r="A104" s="26"/>
      <c r="B104" s="26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C104" s="21"/>
    </row>
    <row r="105" s="1" customFormat="1" ht="20" customHeight="1" spans="1:29">
      <c r="A105" s="26"/>
      <c r="B105" s="26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C105" s="21"/>
    </row>
    <row r="106" s="1" customFormat="1" ht="20" customHeight="1" spans="1:29">
      <c r="A106" s="26"/>
      <c r="B106" s="26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C106" s="21"/>
    </row>
    <row r="107" s="1" customFormat="1" ht="20" customHeight="1" spans="1:29">
      <c r="A107" s="26"/>
      <c r="B107" s="26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C107" s="21"/>
    </row>
    <row r="108" s="1" customFormat="1" ht="20" customHeight="1" spans="1:29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C108" s="21"/>
    </row>
    <row r="109" s="1" customFormat="1" ht="20" customHeight="1" spans="1:29">
      <c r="A109" s="26"/>
      <c r="B109" s="26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C109" s="21"/>
    </row>
    <row r="110" s="1" customFormat="1" ht="20" customHeight="1" spans="1:29">
      <c r="A110" s="26"/>
      <c r="B110" s="26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C110" s="21"/>
    </row>
    <row r="111" s="1" customFormat="1" ht="20" customHeight="1" spans="1:29">
      <c r="A111" s="26"/>
      <c r="B111" s="28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C111" s="21"/>
    </row>
    <row r="112" s="1" customFormat="1" ht="14.25" spans="1:29">
      <c r="A112" s="26"/>
      <c r="B112" s="26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C112" s="21"/>
    </row>
    <row r="113" s="1" customFormat="1" ht="14.25" spans="1:29">
      <c r="A113" s="26"/>
      <c r="B113" s="26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C113" s="21"/>
    </row>
    <row r="114" s="1" customFormat="1" ht="20" customHeight="1" spans="1:29">
      <c r="A114" s="26"/>
      <c r="B114" s="26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C114" s="21"/>
    </row>
    <row r="115" s="1" customFormat="1" ht="20" customHeight="1" spans="1:29">
      <c r="A115" s="26"/>
      <c r="B115" s="26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C115" s="21"/>
    </row>
    <row r="116" s="1" customFormat="1" ht="20" customHeight="1" spans="1:29">
      <c r="A116" s="26"/>
      <c r="B116" s="26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C116" s="21"/>
    </row>
    <row r="117" s="1" customFormat="1" ht="20" customHeight="1" spans="1:29">
      <c r="A117" s="26"/>
      <c r="B117" s="26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C117" s="21"/>
    </row>
    <row r="118" s="1" customFormat="1" ht="20" customHeight="1" spans="1:29">
      <c r="A118" s="26"/>
      <c r="B118" s="26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C118" s="21"/>
    </row>
    <row r="119" s="1" customFormat="1" ht="20" customHeight="1" spans="1:29">
      <c r="A119" s="26"/>
      <c r="B119" s="26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C119" s="21"/>
    </row>
    <row r="120" s="1" customFormat="1" ht="20" customHeight="1" spans="1:29">
      <c r="A120" s="26"/>
      <c r="B120" s="26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C120" s="21"/>
    </row>
    <row r="121" s="1" customFormat="1" ht="20" customHeight="1" spans="1:29">
      <c r="A121" s="26"/>
      <c r="B121" s="28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C121" s="21"/>
    </row>
    <row r="122" s="1" customFormat="1" ht="14.25" spans="1:29">
      <c r="A122" s="26"/>
      <c r="B122" s="26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C122" s="21"/>
    </row>
    <row r="123" s="1" customFormat="1" ht="14.25" spans="1:29">
      <c r="A123" s="26"/>
      <c r="B123" s="26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C123" s="21"/>
    </row>
    <row r="124" s="1" customFormat="1" ht="20" customHeight="1" spans="1:29">
      <c r="A124" s="26"/>
      <c r="B124" s="26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C124" s="21"/>
    </row>
    <row r="125" s="1" customFormat="1" ht="20" customHeight="1" spans="1:29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C125" s="21"/>
    </row>
    <row r="126" s="1" customFormat="1" ht="20" customHeight="1" spans="1:29">
      <c r="A126" s="26"/>
      <c r="B126" s="26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C126" s="21"/>
    </row>
    <row r="127" s="1" customFormat="1" ht="20" customHeight="1" spans="1:29">
      <c r="A127" s="26"/>
      <c r="B127" s="26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C127" s="21"/>
    </row>
    <row r="128" s="1" customFormat="1" ht="20" customHeight="1" spans="1:29">
      <c r="A128" s="26"/>
      <c r="B128" s="26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C128" s="21"/>
    </row>
    <row r="129" s="1" customFormat="1" ht="20" customHeight="1" spans="1:29">
      <c r="A129" s="26"/>
      <c r="B129" s="26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C129" s="21"/>
    </row>
    <row r="130" s="1" customFormat="1" ht="20" customHeight="1" spans="1:29">
      <c r="A130" s="26"/>
      <c r="B130" s="26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C130" s="21"/>
    </row>
    <row r="131" s="1" customFormat="1" ht="20" customHeight="1" spans="1:29">
      <c r="A131" s="26"/>
      <c r="B131" s="28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C131" s="21"/>
    </row>
    <row r="132" s="1" customFormat="1" ht="14.25" spans="1:29">
      <c r="A132" s="26"/>
      <c r="B132" s="26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C132" s="21"/>
    </row>
    <row r="133" s="1" customFormat="1" ht="14.25" spans="1:29">
      <c r="A133" s="26"/>
      <c r="B133" s="26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C133" s="21"/>
    </row>
    <row r="134" s="1" customFormat="1" ht="20" customHeight="1" spans="1:29">
      <c r="A134" s="26"/>
      <c r="B134" s="26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C134" s="21"/>
    </row>
    <row r="135" s="1" customFormat="1" ht="20" customHeight="1" spans="1:29">
      <c r="A135" s="26"/>
      <c r="B135" s="26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C135" s="21"/>
    </row>
    <row r="136" s="1" customFormat="1" ht="20" customHeight="1" spans="1:29">
      <c r="A136" s="26"/>
      <c r="B136" s="26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C136" s="21"/>
    </row>
    <row r="137" s="1" customFormat="1" ht="20" customHeight="1" spans="1:29">
      <c r="A137" s="26"/>
      <c r="B137" s="26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C137" s="21"/>
    </row>
    <row r="138" s="1" customFormat="1" ht="20" customHeight="1" spans="1:29">
      <c r="A138" s="26"/>
      <c r="B138" s="26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C138" s="21"/>
    </row>
    <row r="139" s="1" customFormat="1" ht="20" customHeight="1" spans="1:29">
      <c r="A139" s="26"/>
      <c r="B139" s="26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C139" s="21"/>
    </row>
    <row r="140" s="1" customFormat="1" ht="20" customHeight="1" spans="1:29">
      <c r="A140" s="26"/>
      <c r="B140" s="26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C140" s="21"/>
    </row>
    <row r="141" s="1" customFormat="1" ht="20" customHeight="1" spans="1:29">
      <c r="A141" s="26"/>
      <c r="B141" s="28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C141" s="21"/>
    </row>
    <row r="142" s="1" customFormat="1" ht="14.25" spans="1:29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C142" s="21"/>
    </row>
    <row r="143" s="1" customFormat="1" ht="14.25" spans="1:29">
      <c r="A143" s="26"/>
      <c r="B143" s="26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C143" s="21"/>
    </row>
    <row r="144" s="1" customFormat="1" ht="20" customHeight="1" spans="1:29">
      <c r="A144" s="26"/>
      <c r="B144" s="26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C144" s="21"/>
    </row>
    <row r="145" s="1" customFormat="1" ht="20" customHeight="1" spans="1:29">
      <c r="A145" s="26"/>
      <c r="B145" s="26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C145" s="21"/>
    </row>
    <row r="146" s="1" customFormat="1" ht="20" customHeight="1" spans="1:29">
      <c r="A146" s="26"/>
      <c r="B146" s="26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C146" s="21"/>
    </row>
    <row r="147" s="1" customFormat="1" ht="20" customHeight="1" spans="1:29">
      <c r="A147" s="26"/>
      <c r="B147" s="26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C147" s="21"/>
    </row>
    <row r="148" s="1" customFormat="1" ht="20" customHeight="1" spans="1:29">
      <c r="A148" s="26"/>
      <c r="B148" s="26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C148" s="21"/>
    </row>
    <row r="149" s="1" customFormat="1" ht="20" customHeight="1" spans="1:29">
      <c r="A149" s="26"/>
      <c r="B149" s="26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C149" s="21"/>
    </row>
    <row r="150" s="1" customFormat="1" ht="20" customHeight="1" spans="1:29">
      <c r="A150" s="26"/>
      <c r="B150" s="26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C150" s="21"/>
    </row>
    <row r="151" s="1" customFormat="1" ht="20" customHeight="1" spans="1:29">
      <c r="A151" s="26"/>
      <c r="B151" s="28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C151" s="21"/>
    </row>
    <row r="152" s="1" customFormat="1" ht="14.25" spans="1:29">
      <c r="A152" s="26"/>
      <c r="B152" s="26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C152" s="21"/>
    </row>
    <row r="153" s="1" customFormat="1" ht="14.25" spans="1:29">
      <c r="A153" s="26"/>
      <c r="B153" s="26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C153" s="21"/>
    </row>
    <row r="154" s="1" customFormat="1" ht="20" customHeight="1" spans="1:29">
      <c r="A154" s="26"/>
      <c r="B154" s="26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C154" s="21"/>
    </row>
    <row r="155" s="1" customFormat="1" ht="20" customHeight="1" spans="1:29">
      <c r="A155" s="26"/>
      <c r="B155" s="26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C155" s="21"/>
    </row>
    <row r="156" s="1" customFormat="1" ht="20" customHeight="1" spans="1:29">
      <c r="A156" s="26"/>
      <c r="B156" s="26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C156" s="21"/>
    </row>
    <row r="157" s="1" customFormat="1" ht="20" customHeight="1" spans="1:29">
      <c r="A157" s="26"/>
      <c r="B157" s="26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C157" s="21"/>
    </row>
    <row r="158" s="1" customFormat="1" ht="20" customHeight="1" spans="1:29">
      <c r="A158" s="26"/>
      <c r="B158" s="26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C158" s="21"/>
    </row>
    <row r="159" s="1" customFormat="1" ht="20" customHeight="1" spans="1:29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C159" s="21"/>
    </row>
    <row r="160" s="1" customFormat="1" ht="20" customHeight="1" spans="1:29">
      <c r="A160" s="26"/>
      <c r="B160" s="26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C160" s="21"/>
    </row>
    <row r="161" s="1" customFormat="1" ht="20" customHeight="1" spans="1:29">
      <c r="A161" s="26"/>
      <c r="B161" s="28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C161" s="21"/>
    </row>
    <row r="162" s="1" customFormat="1" ht="14.25" spans="1:29">
      <c r="A162" s="26"/>
      <c r="B162" s="26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C162" s="21"/>
    </row>
    <row r="163" s="1" customFormat="1" ht="14.25" spans="1:29">
      <c r="A163" s="26"/>
      <c r="B163" s="26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C163" s="21"/>
    </row>
    <row r="164" s="1" customFormat="1" ht="20" customHeight="1" spans="1:29">
      <c r="A164" s="26"/>
      <c r="B164" s="26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C164" s="21"/>
    </row>
    <row r="165" s="1" customFormat="1" ht="20" customHeight="1" spans="1:29">
      <c r="A165" s="26"/>
      <c r="B165" s="26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C165" s="21"/>
    </row>
    <row r="166" s="1" customFormat="1" ht="20" customHeight="1" spans="1:29">
      <c r="A166" s="26"/>
      <c r="B166" s="26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C166" s="21"/>
    </row>
    <row r="167" s="1" customFormat="1" ht="20" customHeight="1" spans="1:29">
      <c r="A167" s="26"/>
      <c r="B167" s="26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C167" s="21"/>
    </row>
    <row r="168" s="1" customFormat="1" ht="20" customHeight="1" spans="1:29">
      <c r="A168" s="26"/>
      <c r="B168" s="26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C168" s="21"/>
    </row>
    <row r="169" s="1" customFormat="1" ht="20" customHeight="1" spans="1:29">
      <c r="A169" s="26"/>
      <c r="B169" s="26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C169" s="21"/>
    </row>
    <row r="170" s="1" customFormat="1" ht="20" customHeight="1" spans="1:29">
      <c r="A170" s="26"/>
      <c r="B170" s="26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C170" s="21"/>
    </row>
    <row r="171" s="1" customFormat="1" ht="20" customHeight="1" spans="1:29">
      <c r="A171" s="26"/>
      <c r="B171" s="28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C171" s="21"/>
    </row>
    <row r="172" s="1" customFormat="1" ht="14.25" spans="1:29">
      <c r="A172" s="26"/>
      <c r="B172" s="26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C172" s="21"/>
    </row>
    <row r="173" s="1" customFormat="1" ht="14.25" spans="1:29">
      <c r="A173" s="26"/>
      <c r="B173" s="26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C173" s="21"/>
    </row>
    <row r="174" s="1" customFormat="1" ht="20" customHeight="1" spans="1:29">
      <c r="A174" s="26"/>
      <c r="B174" s="26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C174" s="21"/>
    </row>
    <row r="175" s="1" customFormat="1" ht="20" customHeight="1" spans="1:29">
      <c r="A175" s="26"/>
      <c r="B175" s="26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C175" s="21"/>
    </row>
    <row r="176" s="1" customFormat="1" ht="20" customHeight="1" spans="1:29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C176" s="21"/>
    </row>
    <row r="177" s="1" customFormat="1" ht="20" customHeight="1" spans="1:29">
      <c r="A177" s="26"/>
      <c r="B177" s="26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C177" s="21"/>
    </row>
    <row r="178" s="1" customFormat="1" ht="20" customHeight="1" spans="1:29">
      <c r="A178" s="26"/>
      <c r="B178" s="26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C178" s="21"/>
    </row>
    <row r="179" s="1" customFormat="1" ht="20" customHeight="1" spans="1:29">
      <c r="A179" s="26"/>
      <c r="B179" s="26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C179" s="21"/>
    </row>
    <row r="180" s="1" customFormat="1" ht="20" customHeight="1" spans="1:29">
      <c r="A180" s="26"/>
      <c r="B180" s="26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C180" s="21"/>
    </row>
    <row r="181" s="1" customFormat="1" ht="20" customHeight="1" spans="1:29">
      <c r="A181" s="26"/>
      <c r="B181" s="28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C181" s="21"/>
    </row>
    <row r="182" s="1" customFormat="1" ht="14.25" spans="1:29">
      <c r="A182" s="26"/>
      <c r="B182" s="26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C182" s="21"/>
    </row>
    <row r="183" s="1" customFormat="1" ht="14.25" spans="1:29">
      <c r="A183" s="26"/>
      <c r="B183" s="26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C183" s="21"/>
    </row>
    <row r="184" s="1" customFormat="1" ht="20" customHeight="1" spans="1:29">
      <c r="A184" s="26"/>
      <c r="B184" s="26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C184" s="21"/>
    </row>
    <row r="185" s="1" customFormat="1" ht="20" customHeight="1" spans="1:29">
      <c r="A185" s="26"/>
      <c r="B185" s="26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C185" s="21"/>
    </row>
    <row r="186" s="1" customFormat="1" ht="20" customHeight="1" spans="1:29">
      <c r="A186" s="26"/>
      <c r="B186" s="26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C186" s="21"/>
    </row>
    <row r="187" s="1" customFormat="1" ht="20" customHeight="1" spans="1:29">
      <c r="A187" s="26"/>
      <c r="B187" s="26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C187" s="21"/>
    </row>
    <row r="188" s="1" customFormat="1" ht="20" customHeight="1" spans="1:29">
      <c r="A188" s="26"/>
      <c r="B188" s="26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C188" s="21"/>
    </row>
    <row r="189" s="1" customFormat="1" ht="20" customHeight="1" spans="1:29">
      <c r="A189" s="26"/>
      <c r="B189" s="26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C189" s="21"/>
    </row>
    <row r="190" s="1" customFormat="1" ht="20" customHeight="1" spans="1:29">
      <c r="A190" s="26"/>
      <c r="B190" s="26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C190" s="21"/>
    </row>
    <row r="191" s="1" customFormat="1" ht="20" customHeight="1" spans="1:29">
      <c r="A191" s="26"/>
      <c r="B191" s="28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C191" s="21"/>
    </row>
    <row r="192" s="1" customFormat="1" ht="14.25" spans="1:29">
      <c r="A192" s="26"/>
      <c r="B192" s="26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C192" s="21"/>
    </row>
    <row r="193" s="1" customFormat="1" ht="14.25" spans="1:29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C193" s="21"/>
    </row>
    <row r="194" s="1" customFormat="1" ht="20" customHeight="1" spans="1:29">
      <c r="A194" s="26"/>
      <c r="B194" s="26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C194" s="21"/>
    </row>
    <row r="195" s="1" customFormat="1" ht="20" customHeight="1" spans="1:29">
      <c r="A195" s="26"/>
      <c r="B195" s="26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C195" s="21"/>
    </row>
    <row r="196" s="1" customFormat="1" ht="20" customHeight="1" spans="1:29">
      <c r="A196" s="26"/>
      <c r="B196" s="26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C196" s="21"/>
    </row>
    <row r="197" s="1" customFormat="1" ht="20" customHeight="1" spans="1:29">
      <c r="A197" s="26"/>
      <c r="B197" s="26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C197" s="21"/>
    </row>
    <row r="198" s="1" customFormat="1" ht="20" customHeight="1" spans="1:29">
      <c r="A198" s="26"/>
      <c r="B198" s="26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C198" s="21"/>
    </row>
    <row r="199" s="1" customFormat="1" ht="20" customHeight="1" spans="1:29">
      <c r="A199" s="26"/>
      <c r="B199" s="26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C199" s="21"/>
    </row>
    <row r="200" s="1" customFormat="1" ht="20" customHeight="1" spans="1:29">
      <c r="A200" s="26"/>
      <c r="B200" s="26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C200" s="21"/>
    </row>
    <row r="201" s="1" customFormat="1" ht="20" customHeight="1" spans="1:29">
      <c r="A201" s="26"/>
      <c r="B201" s="28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C201" s="21"/>
    </row>
    <row r="202" s="1" customFormat="1" ht="14.25" spans="1:29">
      <c r="A202" s="26"/>
      <c r="B202" s="26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C202" s="21"/>
    </row>
    <row r="203" s="1" customFormat="1" ht="14.25" spans="1:29">
      <c r="A203" s="26"/>
      <c r="B203" s="26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C203" s="21"/>
    </row>
    <row r="204" s="1" customFormat="1" ht="20" customHeight="1" spans="1:29">
      <c r="A204" s="26"/>
      <c r="B204" s="26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C204" s="21"/>
    </row>
    <row r="205" s="1" customFormat="1" ht="20" customHeight="1" spans="1:29">
      <c r="A205" s="26"/>
      <c r="B205" s="26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C205" s="21"/>
    </row>
    <row r="206" s="1" customFormat="1" ht="20" customHeight="1" spans="1:29">
      <c r="A206" s="26"/>
      <c r="B206" s="26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C206" s="21"/>
    </row>
    <row r="207" s="1" customFormat="1" ht="20" customHeight="1" spans="1:29">
      <c r="A207" s="26"/>
      <c r="B207" s="26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C207" s="21"/>
    </row>
    <row r="208" s="1" customFormat="1" ht="20" customHeight="1" spans="1:29">
      <c r="A208" s="26"/>
      <c r="B208" s="26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C208" s="21"/>
    </row>
    <row r="209" s="1" customFormat="1" ht="20" customHeight="1" spans="1:29">
      <c r="A209" s="26"/>
      <c r="B209" s="26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C209" s="21"/>
    </row>
    <row r="210" s="1" customFormat="1" ht="20" customHeight="1" spans="1:29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C210" s="21"/>
    </row>
    <row r="211" s="1" customFormat="1" ht="20" customHeight="1" spans="1:29">
      <c r="A211" s="26"/>
      <c r="B211" s="28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C211" s="21"/>
    </row>
    <row r="212" s="1" customFormat="1" ht="14.25" spans="1:29">
      <c r="A212" s="26"/>
      <c r="B212" s="26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C212" s="21"/>
    </row>
    <row r="213" s="1" customFormat="1" ht="14.25" spans="1:29">
      <c r="A213" s="26"/>
      <c r="B213" s="26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C213" s="21"/>
    </row>
    <row r="214" s="1" customFormat="1" ht="20" customHeight="1" spans="1:29">
      <c r="A214" s="26"/>
      <c r="B214" s="26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C214" s="21"/>
    </row>
    <row r="215" s="1" customFormat="1" ht="20" customHeight="1" spans="1:29">
      <c r="A215" s="26"/>
      <c r="B215" s="26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C215" s="21"/>
    </row>
    <row r="216" s="1" customFormat="1" ht="20" customHeight="1" spans="1:29">
      <c r="A216" s="26"/>
      <c r="B216" s="26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C216" s="21"/>
    </row>
    <row r="217" s="1" customFormat="1" ht="20" customHeight="1" spans="1:29">
      <c r="A217" s="26"/>
      <c r="B217" s="26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C217" s="21"/>
    </row>
    <row r="218" s="1" customFormat="1" ht="20" customHeight="1" spans="1:29">
      <c r="A218" s="26"/>
      <c r="B218" s="26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C218" s="21"/>
    </row>
    <row r="219" s="1" customFormat="1" ht="20" customHeight="1" spans="1:29">
      <c r="A219" s="26"/>
      <c r="B219" s="26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C219" s="21"/>
    </row>
    <row r="220" s="1" customFormat="1" ht="20" customHeight="1" spans="1:29">
      <c r="A220" s="26"/>
      <c r="B220" s="26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C220" s="21"/>
    </row>
    <row r="221" s="1" customFormat="1" ht="20" customHeight="1" spans="1:29">
      <c r="A221" s="26"/>
      <c r="B221" s="28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C221" s="21"/>
    </row>
    <row r="222" s="1" customFormat="1" ht="14.25" spans="1:29">
      <c r="A222" s="26"/>
      <c r="B222" s="26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C222" s="21"/>
    </row>
    <row r="223" s="1" customFormat="1" ht="14.25" spans="1:29">
      <c r="A223" s="26"/>
      <c r="B223" s="26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C223" s="21"/>
    </row>
    <row r="224" s="1" customFormat="1" ht="20" customHeight="1" spans="1:29">
      <c r="A224" s="26"/>
      <c r="B224" s="26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C224" s="21"/>
    </row>
    <row r="225" s="1" customFormat="1" ht="20" customHeight="1" spans="1:29">
      <c r="A225" s="26"/>
      <c r="B225" s="26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C225" s="21"/>
    </row>
    <row r="226" s="1" customFormat="1" ht="20" customHeight="1" spans="1:29">
      <c r="A226" s="26"/>
      <c r="B226" s="26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C226" s="21"/>
    </row>
    <row r="227" s="1" customFormat="1" ht="20" customHeight="1" spans="1:29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C227" s="21"/>
    </row>
    <row r="228" s="1" customFormat="1" ht="20" customHeight="1" spans="1:29">
      <c r="A228" s="26"/>
      <c r="B228" s="26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C228" s="21"/>
    </row>
    <row r="229" s="1" customFormat="1" ht="20" customHeight="1" spans="1:29">
      <c r="A229" s="26"/>
      <c r="B229" s="26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C229" s="21"/>
    </row>
    <row r="230" s="1" customFormat="1" ht="20" customHeight="1" spans="1:29">
      <c r="A230" s="26"/>
      <c r="B230" s="26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C230" s="21"/>
    </row>
    <row r="231" s="1" customFormat="1" ht="20" customHeight="1" spans="1:29">
      <c r="A231" s="26"/>
      <c r="B231" s="28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C231" s="21"/>
    </row>
    <row r="232" s="1" customFormat="1" ht="14.25" spans="1:29">
      <c r="A232" s="26"/>
      <c r="B232" s="26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C232" s="21"/>
    </row>
    <row r="233" s="1" customFormat="1" ht="14.25" spans="1:29">
      <c r="A233" s="26"/>
      <c r="B233" s="26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C233" s="21"/>
    </row>
    <row r="234" s="1" customFormat="1" ht="20" customHeight="1" spans="1:29">
      <c r="A234" s="26"/>
      <c r="B234" s="26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C234" s="21"/>
    </row>
    <row r="235" s="1" customFormat="1" ht="20" customHeight="1" spans="1:29">
      <c r="A235" s="26"/>
      <c r="B235" s="26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C235" s="21"/>
    </row>
    <row r="236" s="1" customFormat="1" ht="20" customHeight="1" spans="1:29">
      <c r="A236" s="26"/>
      <c r="B236" s="26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C236" s="21"/>
    </row>
    <row r="237" s="1" customFormat="1" ht="20" customHeight="1" spans="1:29">
      <c r="A237" s="26"/>
      <c r="B237" s="26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C237" s="21"/>
    </row>
    <row r="238" s="1" customFormat="1" ht="20" customHeight="1" spans="1:29">
      <c r="A238" s="26"/>
      <c r="B238" s="26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C238" s="21"/>
    </row>
    <row r="239" s="1" customFormat="1" ht="20" customHeight="1" spans="1:29">
      <c r="A239" s="26"/>
      <c r="B239" s="26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C239" s="21"/>
    </row>
    <row r="240" s="1" customFormat="1" ht="20" customHeight="1" spans="1:29">
      <c r="A240" s="26"/>
      <c r="B240" s="26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C240" s="21"/>
    </row>
    <row r="241" s="1" customFormat="1" ht="20" customHeight="1" spans="1:29">
      <c r="A241" s="26"/>
      <c r="B241" s="28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C241" s="21"/>
    </row>
    <row r="242" s="1" customFormat="1" ht="14.25" spans="1:29">
      <c r="A242" s="26"/>
      <c r="B242" s="26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C242" s="21"/>
    </row>
    <row r="243" s="1" customFormat="1" ht="14.25" spans="1:29">
      <c r="A243" s="26"/>
      <c r="B243" s="26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C243" s="21"/>
    </row>
    <row r="244" s="1" customFormat="1" ht="20" customHeight="1" spans="1:29">
      <c r="A244" s="26"/>
      <c r="B244" s="26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C244" s="21"/>
    </row>
    <row r="245" s="1" customFormat="1" ht="20" customHeight="1" spans="1:29">
      <c r="A245" s="26"/>
      <c r="B245" s="26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C245" s="21"/>
    </row>
    <row r="246" s="1" customFormat="1" ht="20" customHeight="1" spans="1:29">
      <c r="A246" s="26"/>
      <c r="B246" s="26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C246" s="21"/>
    </row>
    <row r="247" s="1" customFormat="1" ht="20" customHeight="1" spans="1:29">
      <c r="A247" s="26"/>
      <c r="B247" s="26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C247" s="21"/>
    </row>
    <row r="248" s="1" customFormat="1" ht="20" customHeight="1" spans="1:29">
      <c r="A248" s="26"/>
      <c r="B248" s="26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C248" s="21"/>
    </row>
    <row r="249" s="1" customFormat="1" ht="20" customHeight="1" spans="1:29">
      <c r="A249" s="26"/>
      <c r="B249" s="26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C249" s="21"/>
    </row>
    <row r="250" s="1" customFormat="1" ht="20" customHeight="1" spans="1:29">
      <c r="A250" s="26"/>
      <c r="B250" s="26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C250" s="21"/>
    </row>
    <row r="251" s="1" customFormat="1" ht="20" customHeight="1" spans="1:29">
      <c r="A251" s="26"/>
      <c r="B251" s="28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C251" s="21"/>
    </row>
    <row r="252" s="1" customFormat="1" ht="14.25" spans="1:29">
      <c r="A252" s="26"/>
      <c r="B252" s="26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C252" s="21"/>
    </row>
    <row r="253" s="1" customFormat="1" ht="14.25" spans="1:29">
      <c r="A253" s="26"/>
      <c r="B253" s="26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C253" s="21"/>
    </row>
    <row r="254" s="1" customFormat="1" ht="20" customHeight="1" spans="1:29">
      <c r="A254" s="26"/>
      <c r="B254" s="26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C254" s="21"/>
    </row>
    <row r="255" s="1" customFormat="1" ht="20" customHeight="1" spans="1:29">
      <c r="A255" s="26"/>
      <c r="B255" s="26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C255" s="21"/>
    </row>
    <row r="256" s="1" customFormat="1" ht="20" customHeight="1" spans="1:29">
      <c r="A256" s="26"/>
      <c r="B256" s="26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C256" s="21"/>
    </row>
    <row r="257" s="1" customFormat="1" ht="20" customHeight="1" spans="1:29">
      <c r="A257" s="26"/>
      <c r="B257" s="26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C257" s="21"/>
    </row>
    <row r="258" s="1" customFormat="1" ht="20" customHeight="1" spans="1:29">
      <c r="A258" s="26"/>
      <c r="B258" s="26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C258" s="21"/>
    </row>
    <row r="259" s="1" customFormat="1" ht="20" customHeight="1" spans="1:29">
      <c r="A259" s="26"/>
      <c r="B259" s="26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C259" s="21"/>
    </row>
    <row r="260" s="1" customFormat="1" ht="20" customHeight="1" spans="1:29">
      <c r="A260" s="26"/>
      <c r="B260" s="26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C260" s="21"/>
    </row>
    <row r="261" s="1" customFormat="1" ht="20" customHeight="1" spans="1:29">
      <c r="A261" s="26"/>
      <c r="B261" s="28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C261" s="21"/>
    </row>
    <row r="262" s="1" customFormat="1" ht="14.25" spans="1:29">
      <c r="A262" s="26"/>
      <c r="B262" s="26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C262" s="21"/>
    </row>
    <row r="263" s="1" customFormat="1" ht="14.25" spans="1:29">
      <c r="A263" s="26"/>
      <c r="B263" s="26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C263" s="21"/>
    </row>
    <row r="264" s="1" customFormat="1" ht="20" customHeight="1" spans="1:29">
      <c r="A264" s="26"/>
      <c r="B264" s="26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C264" s="21"/>
    </row>
    <row r="265" s="1" customFormat="1" ht="20" customHeight="1" spans="1:29">
      <c r="A265" s="26"/>
      <c r="B265" s="26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C265" s="21"/>
    </row>
    <row r="266" s="1" customFormat="1" ht="20" customHeight="1" spans="1:29">
      <c r="A266" s="26"/>
      <c r="B266" s="26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C266" s="21"/>
    </row>
    <row r="267" s="1" customFormat="1" ht="20" customHeight="1" spans="1:29">
      <c r="A267" s="26"/>
      <c r="B267" s="26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C267" s="21"/>
    </row>
    <row r="268" s="1" customFormat="1" ht="20" customHeight="1" spans="1:29">
      <c r="A268" s="26"/>
      <c r="B268" s="26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C268" s="21"/>
    </row>
    <row r="269" s="1" customFormat="1" ht="20" customHeight="1" spans="1:29">
      <c r="A269" s="26"/>
      <c r="B269" s="26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C269" s="21"/>
    </row>
    <row r="270" s="1" customFormat="1" ht="20" customHeight="1" spans="1:29">
      <c r="A270" s="26"/>
      <c r="B270" s="26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C270" s="21"/>
    </row>
    <row r="271" s="1" customFormat="1" ht="20" customHeight="1" spans="1:29">
      <c r="A271" s="26"/>
      <c r="B271" s="28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C271" s="21"/>
    </row>
    <row r="272" s="1" customFormat="1" ht="14.25" spans="1:29">
      <c r="A272" s="26"/>
      <c r="B272" s="26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C272" s="21"/>
    </row>
    <row r="273" s="1" customFormat="1" ht="14.25" spans="1:29">
      <c r="A273" s="26"/>
      <c r="B273" s="26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C273" s="21"/>
    </row>
    <row r="274" s="1" customFormat="1" ht="20" customHeight="1" spans="1:29">
      <c r="A274" s="26"/>
      <c r="B274" s="26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C274" s="21"/>
    </row>
    <row r="275" s="1" customFormat="1" ht="20" customHeight="1" spans="1:29">
      <c r="A275" s="26"/>
      <c r="B275" s="26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C275" s="21"/>
    </row>
    <row r="276" s="1" customFormat="1" ht="20" customHeight="1" spans="1:29">
      <c r="A276" s="26"/>
      <c r="B276" s="26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C276" s="21"/>
    </row>
    <row r="277" s="1" customFormat="1" ht="20" customHeight="1" spans="1:29">
      <c r="A277" s="26"/>
      <c r="B277" s="26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C277" s="21"/>
    </row>
    <row r="278" s="1" customFormat="1" ht="20" customHeight="1" spans="1:29">
      <c r="A278" s="26"/>
      <c r="B278" s="26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C278" s="21"/>
    </row>
    <row r="279" s="1" customFormat="1" ht="20" customHeight="1" spans="1:29">
      <c r="A279" s="26"/>
      <c r="B279" s="26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C279" s="21"/>
    </row>
    <row r="280" s="1" customFormat="1" ht="20" customHeight="1" spans="1:29">
      <c r="A280" s="26"/>
      <c r="B280" s="26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C280" s="21"/>
    </row>
    <row r="281" s="1" customFormat="1" ht="20" customHeight="1" spans="1:29">
      <c r="A281" s="26"/>
      <c r="B281" s="28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C281" s="21"/>
    </row>
    <row r="282" s="1" customFormat="1" ht="14.25" spans="1:29">
      <c r="A282" s="26"/>
      <c r="B282" s="26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C282" s="21"/>
    </row>
    <row r="283" s="1" customFormat="1" ht="14.25" spans="1:29">
      <c r="A283" s="26"/>
      <c r="B283" s="26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C283" s="21"/>
    </row>
    <row r="284" s="1" customFormat="1" ht="20" customHeight="1" spans="1:29">
      <c r="A284" s="26"/>
      <c r="B284" s="26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C284" s="21"/>
    </row>
    <row r="285" s="1" customFormat="1" ht="20" customHeight="1" spans="1:29">
      <c r="A285" s="26"/>
      <c r="B285" s="26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C285" s="21"/>
    </row>
    <row r="286" s="1" customFormat="1" ht="20" customHeight="1" spans="1:29">
      <c r="A286" s="26"/>
      <c r="B286" s="26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C286" s="21"/>
    </row>
    <row r="287" s="1" customFormat="1" ht="20" customHeight="1" spans="1:29">
      <c r="A287" s="26"/>
      <c r="B287" s="26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C287" s="21"/>
    </row>
    <row r="288" s="1" customFormat="1" ht="20" customHeight="1" spans="1:29">
      <c r="A288" s="26"/>
      <c r="B288" s="26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C288" s="21"/>
    </row>
    <row r="289" s="1" customFormat="1" ht="20" customHeight="1" spans="1:29">
      <c r="A289" s="26"/>
      <c r="B289" s="26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C289" s="21"/>
    </row>
    <row r="290" s="1" customFormat="1" ht="20" customHeight="1" spans="1:29">
      <c r="A290" s="26"/>
      <c r="B290" s="26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C290" s="21"/>
    </row>
    <row r="291" s="1" customFormat="1" ht="20" customHeight="1" spans="1:29">
      <c r="A291" s="26"/>
      <c r="B291" s="28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C291" s="21"/>
    </row>
    <row r="292" s="1" customFormat="1" ht="14.25" spans="1:29">
      <c r="A292" s="26"/>
      <c r="B292" s="26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C292" s="21"/>
    </row>
    <row r="293" s="1" customFormat="1" ht="14.25" spans="1:29">
      <c r="A293" s="26"/>
      <c r="B293" s="26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C293" s="21"/>
    </row>
  </sheetData>
  <autoFilter ref="A3:XFD101">
    <filterColumn colId="2">
      <customFilters>
        <customFilter operator="equal" val="实际"/>
      </customFilters>
    </filterColumn>
  </autoFilter>
  <mergeCells count="61">
    <mergeCell ref="A1:AB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</mergeCells>
  <pageMargins left="0.75" right="0.75" top="1" bottom="1" header="0.511805555555556" footer="0.511805555555556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2025.5</vt:lpstr>
      <vt:lpstr>2025.6</vt:lpstr>
      <vt:lpstr>2025.7</vt:lpstr>
      <vt:lpstr>2025.8</vt:lpstr>
      <vt:lpstr>2025.9</vt:lpstr>
      <vt:lpstr>2025.10</vt:lpstr>
      <vt:lpstr>11月</vt:lpstr>
      <vt:lpstr>12月</vt:lpstr>
      <vt:lpstr>1月</vt:lpstr>
      <vt:lpstr>2月</vt:lpstr>
      <vt:lpstr>3月</vt:lpstr>
      <vt:lpstr>4月</vt:lpstr>
      <vt:lpstr>5月</vt:lpstr>
      <vt:lpstr>6月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肖韬诲</cp:lastModifiedBy>
  <dcterms:created xsi:type="dcterms:W3CDTF">2025-10-22T06:50:00Z</dcterms:created>
  <dcterms:modified xsi:type="dcterms:W3CDTF">2026-06-29T06:08:04Z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6A836D7498C14CB6B39E38DDE9911FE6_11</vt:lpwstr>
  </property>
  <property fmtid="{D5CDD505-2E9C-101B-9397-08002B2CF9AE}" pid="3" name="KSOProductBuildVer">
    <vt:lpwstr>2052-10.8.0.5391</vt:lpwstr>
  </property>
</Properties>
</file>